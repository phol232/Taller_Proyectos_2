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J:\Periodo Final 2026-10\Taller de Proyectos 2\semana 1\Planner\Taller_Proyectos_2\docs\Planificación\"/>
    </mc:Choice>
  </mc:AlternateContent>
  <bookViews>
    <workbookView xWindow="-120" yWindow="330" windowWidth="29040" windowHeight="15720" activeTab="1"/>
  </bookViews>
  <sheets>
    <sheet name="Sprint 1" sheetId="1" r:id="rId1"/>
    <sheet name="Sprint 2" sheetId="2" r:id="rId2"/>
    <sheet name="Plantilla Sprint" sheetId="3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Sprint'!$H$17,0,0,1,[0]!DoneDays)</definedName>
    <definedName name="RealValues" localSheetId="0">OFFSET('Sprint 1'!$H$17,0,0,1,[0]!DoneDays)</definedName>
    <definedName name="RealValues" localSheetId="1">OFFSET('Sprint 2'!$H$17,0,0,1,'Sprint 2'!DoneDays)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62913"/>
  <extLst>
    <ext uri="GoogleSheetsCustomDataVersion2">
      <go:sheetsCustomData xmlns:go="http://customooxmlschemas.google.com/" r:id="rId7" roundtripDataChecksum="HHOBz0rsvCObczqlO+Cxln6exkhCyGcbbMP0Ba/RVG4="/>
    </ext>
  </extLst>
</workbook>
</file>

<file path=xl/calcChain.xml><?xml version="1.0" encoding="utf-8"?>
<calcChain xmlns="http://schemas.openxmlformats.org/spreadsheetml/2006/main">
  <c r="H37" i="2" l="1"/>
  <c r="F71" i="3" l="1"/>
  <c r="H66" i="3"/>
  <c r="H65" i="3"/>
  <c r="H64" i="3"/>
  <c r="J63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K21" i="3"/>
  <c r="J21" i="3"/>
  <c r="J62" i="3" s="1"/>
  <c r="I21" i="3"/>
  <c r="I63" i="3" s="1"/>
  <c r="J18" i="3"/>
  <c r="I18" i="3"/>
  <c r="D18" i="3"/>
  <c r="AC17" i="3" s="1"/>
  <c r="AD17" i="3"/>
  <c r="Y17" i="3"/>
  <c r="V17" i="3"/>
  <c r="U17" i="3"/>
  <c r="S17" i="3"/>
  <c r="R17" i="3"/>
  <c r="Q17" i="3"/>
  <c r="M17" i="3"/>
  <c r="J17" i="3"/>
  <c r="I17" i="3"/>
  <c r="G17" i="3"/>
  <c r="H18" i="3" s="1"/>
  <c r="F71" i="2"/>
  <c r="H66" i="2"/>
  <c r="H65" i="2"/>
  <c r="H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F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I21" i="2"/>
  <c r="D18" i="2"/>
  <c r="AB17" i="2" s="1"/>
  <c r="F71" i="1"/>
  <c r="H66" i="1"/>
  <c r="H65" i="1"/>
  <c r="H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I21" i="1"/>
  <c r="I62" i="1" s="1"/>
  <c r="D18" i="1"/>
  <c r="AC17" i="1" s="1"/>
  <c r="Y17" i="1"/>
  <c r="Q17" i="1"/>
  <c r="P17" i="1"/>
  <c r="O17" i="1"/>
  <c r="N17" i="1"/>
  <c r="G17" i="2" l="1"/>
  <c r="H18" i="2" s="1"/>
  <c r="V17" i="2"/>
  <c r="H17" i="2"/>
  <c r="Z17" i="2"/>
  <c r="N17" i="2"/>
  <c r="AA17" i="2"/>
  <c r="O17" i="2"/>
  <c r="J21" i="1"/>
  <c r="J62" i="1" s="1"/>
  <c r="U17" i="1"/>
  <c r="I63" i="2"/>
  <c r="I62" i="2"/>
  <c r="J21" i="2"/>
  <c r="V17" i="1"/>
  <c r="W17" i="1"/>
  <c r="I63" i="1"/>
  <c r="Y17" i="2"/>
  <c r="M17" i="2"/>
  <c r="X17" i="2"/>
  <c r="L17" i="2"/>
  <c r="W17" i="2"/>
  <c r="K17" i="2"/>
  <c r="AD17" i="2"/>
  <c r="R17" i="2"/>
  <c r="AC17" i="2"/>
  <c r="Q17" i="2"/>
  <c r="I17" i="1"/>
  <c r="Z17" i="1"/>
  <c r="P17" i="2"/>
  <c r="J17" i="1"/>
  <c r="AA17" i="1"/>
  <c r="S17" i="2"/>
  <c r="K17" i="1"/>
  <c r="AB17" i="1"/>
  <c r="T17" i="2"/>
  <c r="M17" i="1"/>
  <c r="U17" i="2"/>
  <c r="T17" i="1"/>
  <c r="H17" i="1"/>
  <c r="G17" i="1"/>
  <c r="S17" i="1"/>
  <c r="AD17" i="1"/>
  <c r="R17" i="1"/>
  <c r="X17" i="1"/>
  <c r="L17" i="1"/>
  <c r="L21" i="3"/>
  <c r="K63" i="3"/>
  <c r="K18" i="3"/>
  <c r="K62" i="3"/>
  <c r="H17" i="3"/>
  <c r="T17" i="3"/>
  <c r="I62" i="3"/>
  <c r="K17" i="3"/>
  <c r="W17" i="3"/>
  <c r="L17" i="3"/>
  <c r="X17" i="3"/>
  <c r="N17" i="3"/>
  <c r="Z17" i="3"/>
  <c r="O17" i="3"/>
  <c r="AA17" i="3"/>
  <c r="P17" i="3"/>
  <c r="AB17" i="3"/>
  <c r="J63" i="1" l="1"/>
  <c r="I18" i="2"/>
  <c r="K21" i="1"/>
  <c r="K62" i="1" s="1"/>
  <c r="J18" i="2"/>
  <c r="J63" i="2"/>
  <c r="K21" i="2"/>
  <c r="J62" i="2"/>
  <c r="J18" i="1"/>
  <c r="H18" i="1"/>
  <c r="L63" i="3"/>
  <c r="L18" i="3"/>
  <c r="L62" i="3"/>
  <c r="M21" i="3"/>
  <c r="I18" i="1"/>
  <c r="L21" i="1" l="1"/>
  <c r="K63" i="1"/>
  <c r="K18" i="1"/>
  <c r="M63" i="3"/>
  <c r="M18" i="3"/>
  <c r="M62" i="3"/>
  <c r="N21" i="3"/>
  <c r="M21" i="1"/>
  <c r="L62" i="1"/>
  <c r="L63" i="1"/>
  <c r="L18" i="1"/>
  <c r="K62" i="2"/>
  <c r="K18" i="2"/>
  <c r="L21" i="2"/>
  <c r="K63" i="2"/>
  <c r="L63" i="2" l="1"/>
  <c r="L62" i="2"/>
  <c r="L18" i="2"/>
  <c r="M21" i="2"/>
  <c r="M62" i="1"/>
  <c r="M63" i="1"/>
  <c r="N21" i="1"/>
  <c r="M18" i="1"/>
  <c r="N63" i="3"/>
  <c r="N18" i="3"/>
  <c r="N62" i="3"/>
  <c r="O21" i="3"/>
  <c r="O62" i="3" l="1"/>
  <c r="P21" i="3"/>
  <c r="O63" i="3"/>
  <c r="O18" i="3"/>
  <c r="O21" i="1"/>
  <c r="N63" i="1"/>
  <c r="N18" i="1"/>
  <c r="N62" i="1"/>
  <c r="M63" i="2"/>
  <c r="M18" i="2"/>
  <c r="N21" i="2"/>
  <c r="M62" i="2"/>
  <c r="O18" i="1" l="1"/>
  <c r="O63" i="1"/>
  <c r="P21" i="1"/>
  <c r="O62" i="1"/>
  <c r="N63" i="2"/>
  <c r="N62" i="2"/>
  <c r="N18" i="2"/>
  <c r="O21" i="2"/>
  <c r="P63" i="3"/>
  <c r="P18" i="3"/>
  <c r="P62" i="3"/>
  <c r="Q21" i="3"/>
  <c r="R21" i="3" l="1"/>
  <c r="Q63" i="3"/>
  <c r="Q18" i="3"/>
  <c r="Q62" i="3"/>
  <c r="O63" i="2"/>
  <c r="O62" i="2"/>
  <c r="P21" i="2"/>
  <c r="O18" i="2"/>
  <c r="P18" i="1"/>
  <c r="P63" i="1"/>
  <c r="Q21" i="1"/>
  <c r="P62" i="1"/>
  <c r="Q18" i="1" l="1"/>
  <c r="Q62" i="1"/>
  <c r="R21" i="1"/>
  <c r="Q63" i="1"/>
  <c r="P62" i="2"/>
  <c r="Q21" i="2"/>
  <c r="P18" i="2"/>
  <c r="P63" i="2"/>
  <c r="R62" i="3"/>
  <c r="S21" i="3"/>
  <c r="R63" i="3"/>
  <c r="R18" i="3"/>
  <c r="Q63" i="2" l="1"/>
  <c r="Q62" i="2"/>
  <c r="R21" i="2"/>
  <c r="Q18" i="2"/>
  <c r="T21" i="3"/>
  <c r="S63" i="3"/>
  <c r="S18" i="3"/>
  <c r="S62" i="3"/>
  <c r="R62" i="1"/>
  <c r="S21" i="1"/>
  <c r="R63" i="1"/>
  <c r="R18" i="1"/>
  <c r="S63" i="1" l="1"/>
  <c r="T21" i="1"/>
  <c r="S18" i="1"/>
  <c r="S62" i="1"/>
  <c r="R63" i="2"/>
  <c r="S21" i="2"/>
  <c r="R62" i="2"/>
  <c r="R18" i="2"/>
  <c r="U21" i="3"/>
  <c r="T63" i="3"/>
  <c r="T18" i="3"/>
  <c r="T62" i="3"/>
  <c r="S62" i="2" l="1"/>
  <c r="S63" i="2"/>
  <c r="T21" i="2"/>
  <c r="S18" i="2"/>
  <c r="V21" i="3"/>
  <c r="U63" i="3"/>
  <c r="U18" i="3"/>
  <c r="U62" i="3"/>
  <c r="T63" i="1"/>
  <c r="T18" i="1"/>
  <c r="T62" i="1"/>
  <c r="U21" i="1"/>
  <c r="U63" i="1" l="1"/>
  <c r="U18" i="1"/>
  <c r="U62" i="1"/>
  <c r="V21" i="1"/>
  <c r="T18" i="2"/>
  <c r="T62" i="2"/>
  <c r="U21" i="2"/>
  <c r="T63" i="2"/>
  <c r="V63" i="3"/>
  <c r="V62" i="3"/>
  <c r="V18" i="3"/>
  <c r="W21" i="3"/>
  <c r="X21" i="3" l="1"/>
  <c r="W63" i="3"/>
  <c r="W18" i="3"/>
  <c r="W62" i="3"/>
  <c r="U18" i="2"/>
  <c r="U63" i="2"/>
  <c r="U62" i="2"/>
  <c r="V21" i="2"/>
  <c r="V63" i="1"/>
  <c r="W21" i="1"/>
  <c r="V18" i="1"/>
  <c r="V62" i="1"/>
  <c r="W63" i="1" l="1"/>
  <c r="X21" i="1"/>
  <c r="W62" i="1"/>
  <c r="W18" i="1"/>
  <c r="V18" i="2"/>
  <c r="V63" i="2"/>
  <c r="W21" i="2"/>
  <c r="V62" i="2"/>
  <c r="X63" i="3"/>
  <c r="X18" i="3"/>
  <c r="X62" i="3"/>
  <c r="Y21" i="3"/>
  <c r="Y63" i="3" l="1"/>
  <c r="Y18" i="3"/>
  <c r="Y62" i="3"/>
  <c r="Z21" i="3"/>
  <c r="W62" i="2"/>
  <c r="X21" i="2"/>
  <c r="W18" i="2"/>
  <c r="W63" i="2"/>
  <c r="Y21" i="1"/>
  <c r="X62" i="1"/>
  <c r="X63" i="1"/>
  <c r="X18" i="1"/>
  <c r="Y62" i="1" l="1"/>
  <c r="Z21" i="1"/>
  <c r="Y63" i="1"/>
  <c r="Y18" i="1"/>
  <c r="X63" i="2"/>
  <c r="X62" i="2"/>
  <c r="Y21" i="2"/>
  <c r="X18" i="2"/>
  <c r="Z63" i="3"/>
  <c r="Z18" i="3"/>
  <c r="Z62" i="3"/>
  <c r="AA21" i="3"/>
  <c r="AA62" i="3" l="1"/>
  <c r="AB21" i="3"/>
  <c r="AA63" i="3"/>
  <c r="AA18" i="3"/>
  <c r="Z62" i="1"/>
  <c r="Z18" i="1"/>
  <c r="Z63" i="1"/>
  <c r="AA21" i="1"/>
  <c r="Y63" i="2"/>
  <c r="Y62" i="2"/>
  <c r="Y18" i="2"/>
  <c r="Z21" i="2"/>
  <c r="Z63" i="2" l="1"/>
  <c r="Z62" i="2"/>
  <c r="Z18" i="2"/>
  <c r="AA21" i="2"/>
  <c r="AA18" i="1"/>
  <c r="AA63" i="1"/>
  <c r="AA62" i="1"/>
  <c r="AB21" i="1"/>
  <c r="AB63" i="3"/>
  <c r="AB18" i="3"/>
  <c r="AB62" i="3"/>
  <c r="AC21" i="3"/>
  <c r="AB18" i="1" l="1"/>
  <c r="AB63" i="1"/>
  <c r="AC21" i="1"/>
  <c r="AB62" i="1"/>
  <c r="AD21" i="3"/>
  <c r="AC63" i="3"/>
  <c r="AC18" i="3"/>
  <c r="AC62" i="3"/>
  <c r="AA63" i="2"/>
  <c r="AA62" i="2"/>
  <c r="AB21" i="2"/>
  <c r="AA18" i="2"/>
  <c r="AB62" i="2" l="1"/>
  <c r="AC21" i="2"/>
  <c r="AB18" i="2"/>
  <c r="AB63" i="2"/>
  <c r="AD62" i="3"/>
  <c r="AE21" i="3"/>
  <c r="AD63" i="3"/>
  <c r="AD18" i="3"/>
  <c r="AC18" i="1"/>
  <c r="AC62" i="1"/>
  <c r="AD21" i="1"/>
  <c r="AC63" i="1"/>
  <c r="AD62" i="1" l="1"/>
  <c r="AE21" i="1"/>
  <c r="AD63" i="1"/>
  <c r="AD18" i="1"/>
  <c r="AC63" i="2"/>
  <c r="AC62" i="2"/>
  <c r="AD21" i="2"/>
  <c r="AC18" i="2"/>
  <c r="AE65" i="3"/>
  <c r="AF21" i="3"/>
  <c r="AE60" i="3"/>
  <c r="AE57" i="3"/>
  <c r="AE54" i="3"/>
  <c r="AE51" i="3"/>
  <c r="AE48" i="3"/>
  <c r="AE45" i="3"/>
  <c r="AE42" i="3"/>
  <c r="AE39" i="3"/>
  <c r="AE36" i="3"/>
  <c r="AE33" i="3"/>
  <c r="AE30" i="3"/>
  <c r="AE27" i="3"/>
  <c r="AE24" i="3"/>
  <c r="AE64" i="3"/>
  <c r="AE63" i="3"/>
  <c r="AE59" i="3"/>
  <c r="AE56" i="3"/>
  <c r="AE53" i="3"/>
  <c r="AE50" i="3"/>
  <c r="AE47" i="3"/>
  <c r="AE44" i="3"/>
  <c r="AE41" i="3"/>
  <c r="AE38" i="3"/>
  <c r="AE35" i="3"/>
  <c r="AE32" i="3"/>
  <c r="AE29" i="3"/>
  <c r="AE26" i="3"/>
  <c r="AE23" i="3"/>
  <c r="AE18" i="3"/>
  <c r="AE62" i="3"/>
  <c r="AE46" i="3"/>
  <c r="AE61" i="3"/>
  <c r="AE25" i="3"/>
  <c r="AE40" i="3"/>
  <c r="AE55" i="3"/>
  <c r="AE34" i="3"/>
  <c r="AE49" i="3"/>
  <c r="AE28" i="3"/>
  <c r="AE43" i="3"/>
  <c r="AE37" i="3"/>
  <c r="AE58" i="3"/>
  <c r="AE22" i="3"/>
  <c r="AE17" i="3" s="1"/>
  <c r="AE52" i="3"/>
  <c r="AE31" i="3"/>
  <c r="AD63" i="2" l="1"/>
  <c r="AD62" i="2"/>
  <c r="AD18" i="2"/>
  <c r="AE21" i="2"/>
  <c r="AE60" i="1"/>
  <c r="AE57" i="1"/>
  <c r="AE54" i="1"/>
  <c r="AE51" i="1"/>
  <c r="AE48" i="1"/>
  <c r="AE45" i="1"/>
  <c r="AE42" i="1"/>
  <c r="AE39" i="1"/>
  <c r="AE36" i="1"/>
  <c r="AE33" i="1"/>
  <c r="AE30" i="1"/>
  <c r="AE24" i="1"/>
  <c r="AE64" i="1"/>
  <c r="AE29" i="1"/>
  <c r="AE23" i="1"/>
  <c r="AE61" i="1"/>
  <c r="AE58" i="1"/>
  <c r="AE55" i="1"/>
  <c r="AE52" i="1"/>
  <c r="AE49" i="1"/>
  <c r="AE46" i="1"/>
  <c r="AE43" i="1"/>
  <c r="AE40" i="1"/>
  <c r="AE37" i="1"/>
  <c r="AE34" i="1"/>
  <c r="AE31" i="1"/>
  <c r="AE26" i="1"/>
  <c r="AE35" i="1"/>
  <c r="AE25" i="1"/>
  <c r="AE53" i="1"/>
  <c r="AE65" i="1"/>
  <c r="AE38" i="1"/>
  <c r="AE22" i="1"/>
  <c r="AF21" i="1"/>
  <c r="AE56" i="1"/>
  <c r="AE41" i="1"/>
  <c r="AE63" i="1"/>
  <c r="AE44" i="1"/>
  <c r="AE28" i="1"/>
  <c r="AE59" i="1"/>
  <c r="AE18" i="1"/>
  <c r="AE47" i="1"/>
  <c r="AE27" i="1"/>
  <c r="AE62" i="1"/>
  <c r="AE50" i="1"/>
  <c r="AE32" i="1"/>
  <c r="AF61" i="3"/>
  <c r="AF58" i="3"/>
  <c r="AF55" i="3"/>
  <c r="AF52" i="3"/>
  <c r="AF49" i="3"/>
  <c r="AF46" i="3"/>
  <c r="AF43" i="3"/>
  <c r="AF40" i="3"/>
  <c r="AF37" i="3"/>
  <c r="AF34" i="3"/>
  <c r="AF31" i="3"/>
  <c r="AF28" i="3"/>
  <c r="AF25" i="3"/>
  <c r="AF22" i="3"/>
  <c r="AF17" i="3" s="1"/>
  <c r="F18" i="3" s="1"/>
  <c r="AF65" i="3"/>
  <c r="AF60" i="3"/>
  <c r="AF57" i="3"/>
  <c r="AF54" i="3"/>
  <c r="AF51" i="3"/>
  <c r="AF48" i="3"/>
  <c r="AF45" i="3"/>
  <c r="AF42" i="3"/>
  <c r="AF39" i="3"/>
  <c r="AF36" i="3"/>
  <c r="AF33" i="3"/>
  <c r="AF30" i="3"/>
  <c r="AF27" i="3"/>
  <c r="AF24" i="3"/>
  <c r="AF64" i="3"/>
  <c r="AF63" i="3"/>
  <c r="AF59" i="3"/>
  <c r="AF56" i="3"/>
  <c r="AF53" i="3"/>
  <c r="AF50" i="3"/>
  <c r="AF47" i="3"/>
  <c r="AF44" i="3"/>
  <c r="AF41" i="3"/>
  <c r="AF38" i="3"/>
  <c r="AF35" i="3"/>
  <c r="AF32" i="3"/>
  <c r="AF29" i="3"/>
  <c r="AF26" i="3"/>
  <c r="AF23" i="3"/>
  <c r="AF18" i="3"/>
  <c r="AF62" i="3"/>
  <c r="H20" i="3" l="1"/>
  <c r="F20" i="3"/>
  <c r="AC19" i="3" s="1" a="1"/>
  <c r="AC19" i="3" s="1"/>
  <c r="AE62" i="2"/>
  <c r="AE61" i="2"/>
  <c r="AE58" i="2"/>
  <c r="AE55" i="2"/>
  <c r="AE52" i="2"/>
  <c r="AE49" i="2"/>
  <c r="AE46" i="2"/>
  <c r="AE43" i="2"/>
  <c r="AE40" i="2"/>
  <c r="AE37" i="2"/>
  <c r="AE34" i="2"/>
  <c r="AE31" i="2"/>
  <c r="AE65" i="2"/>
  <c r="AE24" i="2"/>
  <c r="AE64" i="2"/>
  <c r="AE63" i="2"/>
  <c r="AE59" i="2"/>
  <c r="AE56" i="2"/>
  <c r="AE53" i="2"/>
  <c r="AE50" i="2"/>
  <c r="AE47" i="2"/>
  <c r="AE44" i="2"/>
  <c r="AE41" i="2"/>
  <c r="AE38" i="2"/>
  <c r="AE35" i="2"/>
  <c r="AE32" i="2"/>
  <c r="AE29" i="2"/>
  <c r="AE26" i="2"/>
  <c r="AE22" i="2"/>
  <c r="AE25" i="2"/>
  <c r="AE60" i="2"/>
  <c r="AE48" i="2"/>
  <c r="AE36" i="2"/>
  <c r="AE28" i="2"/>
  <c r="AE18" i="2"/>
  <c r="AE51" i="2"/>
  <c r="AE39" i="2"/>
  <c r="AE23" i="2"/>
  <c r="AE27" i="2"/>
  <c r="AE54" i="2"/>
  <c r="AE42" i="2"/>
  <c r="AE30" i="2"/>
  <c r="AF21" i="2"/>
  <c r="AE57" i="2"/>
  <c r="AE45" i="2"/>
  <c r="AE33" i="2"/>
  <c r="AF64" i="1"/>
  <c r="AF29" i="1"/>
  <c r="AF23" i="1"/>
  <c r="AF61" i="1"/>
  <c r="AF58" i="1"/>
  <c r="AF55" i="1"/>
  <c r="AF52" i="1"/>
  <c r="AF57" i="1"/>
  <c r="AF53" i="1"/>
  <c r="AF42" i="1"/>
  <c r="AF24" i="1"/>
  <c r="AF43" i="1"/>
  <c r="AF65" i="1"/>
  <c r="AF49" i="1"/>
  <c r="AF38" i="1"/>
  <c r="AF31" i="1"/>
  <c r="AF22" i="1"/>
  <c r="AF28" i="1"/>
  <c r="AF45" i="1"/>
  <c r="AF60" i="1"/>
  <c r="AF56" i="1"/>
  <c r="AF41" i="1"/>
  <c r="AF34" i="1"/>
  <c r="AF44" i="1"/>
  <c r="AF37" i="1"/>
  <c r="AF50" i="1"/>
  <c r="AF46" i="1"/>
  <c r="AF48" i="1"/>
  <c r="AF30" i="1"/>
  <c r="AF63" i="1"/>
  <c r="AF54" i="1"/>
  <c r="AF32" i="1"/>
  <c r="AF62" i="1"/>
  <c r="AF59" i="1"/>
  <c r="AF51" i="1"/>
  <c r="AF33" i="1"/>
  <c r="AF18" i="1"/>
  <c r="AF26" i="1"/>
  <c r="AF47" i="1"/>
  <c r="AF40" i="1"/>
  <c r="AF27" i="1"/>
  <c r="AF36" i="1"/>
  <c r="AF39" i="1"/>
  <c r="AF25" i="1"/>
  <c r="AF35" i="1"/>
  <c r="AE17" i="1"/>
  <c r="AE17" i="2" l="1"/>
  <c r="N19" i="3" a="1"/>
  <c r="N19" i="3" s="1"/>
  <c r="AF19" i="3" a="1"/>
  <c r="AF19" i="3" s="1"/>
  <c r="AA19" i="3" a="1"/>
  <c r="AA19" i="3" s="1"/>
  <c r="X19" i="3" a="1"/>
  <c r="X19" i="3" s="1"/>
  <c r="T19" i="3" a="1"/>
  <c r="T19" i="3" s="1"/>
  <c r="O19" i="3" a="1"/>
  <c r="O19" i="3" s="1"/>
  <c r="AD19" i="3" a="1"/>
  <c r="AD19" i="3" s="1"/>
  <c r="Z19" i="3" a="1"/>
  <c r="Z19" i="3" s="1"/>
  <c r="M19" i="3" a="1"/>
  <c r="M19" i="3" s="1"/>
  <c r="J19" i="3" a="1"/>
  <c r="J19" i="3" s="1"/>
  <c r="S19" i="3" a="1"/>
  <c r="S19" i="3" s="1"/>
  <c r="P19" i="3" a="1"/>
  <c r="P19" i="3" s="1"/>
  <c r="Y19" i="3" a="1"/>
  <c r="Y19" i="3" s="1"/>
  <c r="V19" i="3" a="1"/>
  <c r="V19" i="3" s="1"/>
  <c r="L19" i="3" a="1"/>
  <c r="L19" i="3" s="1"/>
  <c r="AE19" i="3" a="1"/>
  <c r="AE19" i="3" s="1"/>
  <c r="W19" i="3" a="1"/>
  <c r="W19" i="3" s="1"/>
  <c r="AF65" i="2"/>
  <c r="AF24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18" i="2"/>
  <c r="AF22" i="2"/>
  <c r="AF62" i="2"/>
  <c r="AF56" i="2"/>
  <c r="AF52" i="2"/>
  <c r="AF44" i="2"/>
  <c r="AF40" i="2"/>
  <c r="AF32" i="2"/>
  <c r="AF28" i="2"/>
  <c r="AF23" i="2"/>
  <c r="AF64" i="2"/>
  <c r="AF59" i="2"/>
  <c r="AF55" i="2"/>
  <c r="AF47" i="2"/>
  <c r="AF43" i="2"/>
  <c r="AF35" i="2"/>
  <c r="AF31" i="2"/>
  <c r="AF25" i="2"/>
  <c r="AF63" i="2"/>
  <c r="AF58" i="2"/>
  <c r="AF50" i="2"/>
  <c r="AF46" i="2"/>
  <c r="AF38" i="2"/>
  <c r="AF34" i="2"/>
  <c r="AF26" i="2"/>
  <c r="AF61" i="2"/>
  <c r="AF53" i="2"/>
  <c r="AF49" i="2"/>
  <c r="AF41" i="2"/>
  <c r="AF37" i="2"/>
  <c r="AF29" i="2"/>
  <c r="AB19" i="3" a="1"/>
  <c r="AB19" i="3" s="1"/>
  <c r="K19" i="3" a="1"/>
  <c r="K19" i="3" s="1"/>
  <c r="AF17" i="1"/>
  <c r="F18" i="1" s="1"/>
  <c r="H19" i="3" a="1"/>
  <c r="H19" i="3" s="1"/>
  <c r="I19" i="3" a="1"/>
  <c r="I19" i="3" s="1"/>
  <c r="Q19" i="3" a="1"/>
  <c r="Q19" i="3" s="1"/>
  <c r="R19" i="3" a="1"/>
  <c r="R19" i="3" s="1"/>
  <c r="U19" i="3" a="1"/>
  <c r="U19" i="3" s="1"/>
  <c r="H20" i="1" l="1"/>
  <c r="F20" i="1"/>
  <c r="AF17" i="2"/>
  <c r="AC19" i="1" l="1" a="1"/>
  <c r="AC19" i="1" s="1"/>
  <c r="V19" i="1" a="1"/>
  <c r="V19" i="1" s="1"/>
  <c r="O19" i="1" a="1"/>
  <c r="O19" i="1" s="1"/>
  <c r="Y19" i="1" a="1"/>
  <c r="Y19" i="1" s="1"/>
  <c r="L19" i="1" a="1"/>
  <c r="L19" i="1" s="1"/>
  <c r="H19" i="1" a="1"/>
  <c r="H19" i="1" s="1"/>
  <c r="P19" i="1" a="1"/>
  <c r="P19" i="1" s="1"/>
  <c r="R19" i="1" a="1"/>
  <c r="R19" i="1" s="1"/>
  <c r="AD19" i="1" a="1"/>
  <c r="AD19" i="1" s="1"/>
  <c r="AF19" i="1" a="1"/>
  <c r="AF19" i="1" s="1"/>
  <c r="W19" i="1" a="1"/>
  <c r="W19" i="1" s="1"/>
  <c r="S19" i="1" a="1"/>
  <c r="S19" i="1" s="1"/>
  <c r="J19" i="1" a="1"/>
  <c r="J19" i="1" s="1"/>
  <c r="AB19" i="1" a="1"/>
  <c r="AB19" i="1" s="1"/>
  <c r="N19" i="1" a="1"/>
  <c r="N19" i="1" s="1"/>
  <c r="M19" i="1" a="1"/>
  <c r="M19" i="1" s="1"/>
  <c r="I19" i="1" a="1"/>
  <c r="I19" i="1" s="1"/>
  <c r="K19" i="1" a="1"/>
  <c r="K19" i="1" s="1"/>
  <c r="T19" i="1" a="1"/>
  <c r="T19" i="1" s="1"/>
  <c r="U19" i="1" a="1"/>
  <c r="U19" i="1" s="1"/>
  <c r="AE19" i="1" a="1"/>
  <c r="AE19" i="1" s="1"/>
  <c r="AA19" i="1" a="1"/>
  <c r="AA19" i="1" s="1"/>
  <c r="Q19" i="1" a="1"/>
  <c r="Q19" i="1" s="1"/>
  <c r="X19" i="1" a="1"/>
  <c r="X19" i="1" s="1"/>
  <c r="Z19" i="1" a="1"/>
  <c r="Z19" i="1" s="1"/>
  <c r="I17" i="2" l="1"/>
  <c r="J17" i="2"/>
  <c r="F18" i="2" l="1"/>
  <c r="F20" i="2" s="1"/>
  <c r="H20" i="2" l="1"/>
  <c r="J19" i="2" s="1" a="1"/>
  <c r="J19" i="2" s="1"/>
  <c r="O19" i="2" l="1" a="1"/>
  <c r="O19" i="2" s="1"/>
  <c r="I19" i="2" a="1"/>
  <c r="I19" i="2" s="1"/>
  <c r="K19" i="2" a="1"/>
  <c r="K19" i="2" s="1"/>
  <c r="S19" i="2" a="1"/>
  <c r="S19" i="2" s="1"/>
  <c r="Z19" i="2" a="1"/>
  <c r="Z19" i="2" s="1"/>
  <c r="R19" i="2" a="1"/>
  <c r="R19" i="2" s="1"/>
  <c r="Q19" i="2" a="1"/>
  <c r="Q19" i="2" s="1"/>
  <c r="H19" i="2" a="1"/>
  <c r="H19" i="2" s="1"/>
  <c r="L19" i="2" a="1"/>
  <c r="L19" i="2" s="1"/>
  <c r="V19" i="2" a="1"/>
  <c r="V19" i="2" s="1"/>
  <c r="X19" i="2" a="1"/>
  <c r="X19" i="2" s="1"/>
  <c r="AC19" i="2" a="1"/>
  <c r="AC19" i="2" s="1"/>
  <c r="AB19" i="2" a="1"/>
  <c r="AB19" i="2" s="1"/>
  <c r="U19" i="2" a="1"/>
  <c r="U19" i="2" s="1"/>
  <c r="T19" i="2" a="1"/>
  <c r="T19" i="2" s="1"/>
  <c r="Y19" i="2" a="1"/>
  <c r="Y19" i="2" s="1"/>
  <c r="AF19" i="2" a="1"/>
  <c r="AF19" i="2" s="1"/>
  <c r="W19" i="2" a="1"/>
  <c r="W19" i="2" s="1"/>
  <c r="N19" i="2" a="1"/>
  <c r="N19" i="2" s="1"/>
  <c r="P19" i="2" a="1"/>
  <c r="P19" i="2" s="1"/>
  <c r="AA19" i="2" a="1"/>
  <c r="AA19" i="2" s="1"/>
  <c r="AE19" i="2" a="1"/>
  <c r="AE19" i="2" s="1"/>
  <c r="M19" i="2" a="1"/>
  <c r="M19" i="2" s="1"/>
  <c r="AD19" i="2" a="1"/>
  <c r="AD19" i="2" s="1"/>
</calcChain>
</file>

<file path=xl/comments1.xml><?xml version="1.0" encoding="utf-8"?>
<comments xmlns="http://schemas.openxmlformats.org/spreadsheetml/2006/main">
  <authors>
    <author/>
  </authors>
  <commentList>
    <comment ref="C16" authorId="0" shapeId="0">
      <text>
        <r>
          <rPr>
            <sz val="10"/>
            <color rgb="FF000000"/>
            <rFont val="Arial"/>
            <family val="2"/>
            <scheme val="minor"/>
          </rPr>
          <t>======
ID#AAAB3AahyNg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="http://schemas.openxmlformats.org/spreadsheetml/2006/main">
  <authors>
    <author/>
  </authors>
  <commentList>
    <comment ref="C16" authorId="0" shapeId="0">
      <text>
        <r>
          <rPr>
            <sz val="10"/>
            <color rgb="FF000000"/>
            <rFont val="Arial"/>
            <family val="2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="http://schemas.openxmlformats.org/spreadsheetml/2006/main">
  <authors>
    <author/>
  </authors>
  <commentList>
    <comment ref="C16" authorId="0" shapeId="0">
      <text>
        <r>
          <rPr>
            <sz val="10"/>
            <color rgb="FF000000"/>
            <rFont val="Arial"/>
            <family val="2"/>
            <scheme val="minor"/>
          </rPr>
          <t>======
ID#AAAB3AahyNY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<sst xmlns="http://schemas.openxmlformats.org/spreadsheetml/2006/main" count="156" uniqueCount="60">
  <si>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</si>
  <si>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</si>
  <si>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</si>
  <si>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</si>
  <si>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</si>
  <si>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</si>
  <si>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</si>
  <si>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</si>
  <si>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</si>
  <si>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</si>
  <si>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</si>
  <si>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</si>
  <si>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</si>
  <si>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</si>
  <si>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</si>
  <si>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</si>
  <si>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</si>
  <si>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</si>
  <si>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</si>
  <si>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</si>
  <si>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</si>
  <si>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</si>
  <si>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</si>
  <si>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</si>
  <si>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</si>
  <si>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</si>
  <si>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</si>
  <si>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</si>
  <si>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</si>
  <si>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</si>
  <si>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</si>
  <si>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</si>
  <si>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</si>
  <si>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</si>
  <si>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</si>
  <si>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</si>
  <si>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</si>
  <si>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</si>
  <si>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</si>
  <si>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</si>
  <si>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</si>
  <si>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</si>
  <si>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</si>
  <si>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Terminado</t>
  </si>
  <si>
    <t>Diseñar modelo de datos del estudiante y migraciones de base de datos</t>
  </si>
  <si>
    <t>Implementar endpoints CRUD de estudiantes con validación de unicidad de código</t>
  </si>
  <si>
    <t>Desarrollar vista SPA: listar, crear, editar, eliminar y buscar estudiantes</t>
  </si>
  <si>
    <t>Escribir pruebas unitarias e integración del módulo de estudiantes</t>
  </si>
  <si>
    <t>Diseñar modelo de datos del docente con estructura de disponibilidad horaria semanal</t>
  </si>
  <si>
    <t>Implementar endpoints CRUD de docentes y endpoint de actualización de disponibilidad</t>
  </si>
  <si>
    <t>Desarrollar vista SPA: CRUD de docentes y grilla semanal de disponibilidad editable</t>
  </si>
  <si>
    <t>Escribir pruebas unitarias e integración del módulo de docentes y disponibilidad</t>
  </si>
  <si>
    <t>Diseñar modelo de datos del curso con estructura de prerrequisitos (relación self-referencial)</t>
  </si>
  <si>
    <t>Implementar endpoints CRUD de cursos con validaciones de créditos, horas y prerrequisitos existentes</t>
  </si>
  <si>
    <t>Implementar validación de integridad referencial al eliminar cursos que son prerrequisitos</t>
  </si>
  <si>
    <t>Desarrollar vista SPA: CRUD de cursos con selector de prerrequisitos y tipo de aula</t>
  </si>
  <si>
    <t>Diseñar modelo de datos del aula con estructura de disponibilidad por franja horaria</t>
  </si>
  <si>
    <t>Implementar endpoints CRUD de aulas con validación de capacidad &gt; 0</t>
  </si>
  <si>
    <t>Desarrollar vista SPA: CRUD de aulas con grilla de disponibilidad por franja editable</t>
  </si>
  <si>
    <t>Integrante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</si>
</sst>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Sprint &quot;#&quot; Backlog&quot;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/>
    <xf numFmtId="0" fontId="6" fillId="3" borderId="5" xfId="0" applyFont="1" applyFill="1" applyBorder="1"/>
    <xf numFmtId="0" fontId="1" fillId="3" borderId="5" xfId="0" applyFont="1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3" borderId="5" xfId="0" applyFont="1" applyFill="1" applyBorder="1" applyAlignment="1">
      <alignment horizontal="center"/>
    </xf>
    <xf numFmtId="0" fontId="8" fillId="0" borderId="13" xfId="0" applyFont="1" applyBorder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0" borderId="8" xfId="0" applyFont="1" applyBorder="1"/>
    <xf numFmtId="0" fontId="2" fillId="2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29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9908637"/>
        <c:axId val="940494888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29</c:v>
                </c:pt>
                <c:pt idx="1">
                  <c:v>25.375</c:v>
                </c:pt>
                <c:pt idx="2">
                  <c:v>21.75</c:v>
                </c:pt>
                <c:pt idx="3">
                  <c:v>18.125</c:v>
                </c:pt>
                <c:pt idx="4">
                  <c:v>14.5</c:v>
                </c:pt>
                <c:pt idx="5">
                  <c:v>10.875</c:v>
                </c:pt>
                <c:pt idx="6">
                  <c:v>7.25</c:v>
                </c:pt>
                <c:pt idx="7">
                  <c:v>3.625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1-4BE8-96F5-573D2EEA195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28.7</c:v>
                </c:pt>
                <c:pt idx="1">
                  <c:v>22.4</c:v>
                </c:pt>
                <c:pt idx="2">
                  <c:v>16.099999999999998</c:v>
                </c:pt>
                <c:pt idx="3">
                  <c:v>9.7999999999999972</c:v>
                </c:pt>
                <c:pt idx="4">
                  <c:v>3.4999999999999964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40494888"/>
        <c:crosses val="autoZero"/>
        <c:auto val="1"/>
        <c:lblAlgn val="ctr"/>
        <c:lblOffset val="100"/>
        <c:noMultiLvlLbl val="1"/>
      </c:catAx>
      <c:valAx>
        <c:axId val="940494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72990863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78</c:v>
                </c:pt>
                <c:pt idx="1">
                  <c:v>67</c:v>
                </c:pt>
                <c:pt idx="2">
                  <c:v>53</c:v>
                </c:pt>
                <c:pt idx="3">
                  <c:v>40</c:v>
                </c:pt>
                <c:pt idx="4">
                  <c:v>25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78</c:v>
                </c:pt>
                <c:pt idx="1">
                  <c:v>73.89473684210526</c:v>
                </c:pt>
                <c:pt idx="2">
                  <c:v>69.78947368421052</c:v>
                </c:pt>
                <c:pt idx="3">
                  <c:v>65.68421052631578</c:v>
                </c:pt>
                <c:pt idx="4">
                  <c:v>61.578947368421055</c:v>
                </c:pt>
                <c:pt idx="5">
                  <c:v>57.473684210526315</c:v>
                </c:pt>
                <c:pt idx="6">
                  <c:v>53.368421052631575</c:v>
                </c:pt>
                <c:pt idx="7">
                  <c:v>49.263157894736835</c:v>
                </c:pt>
                <c:pt idx="8">
                  <c:v>45.157894736842103</c:v>
                </c:pt>
                <c:pt idx="9">
                  <c:v>41.052631578947363</c:v>
                </c:pt>
                <c:pt idx="10">
                  <c:v>36.94736842105263</c:v>
                </c:pt>
                <c:pt idx="11">
                  <c:v>32.84210526315789</c:v>
                </c:pt>
                <c:pt idx="12">
                  <c:v>28.73684210526315</c:v>
                </c:pt>
                <c:pt idx="13">
                  <c:v>24.631578947368418</c:v>
                </c:pt>
                <c:pt idx="14">
                  <c:v>20.526315789473678</c:v>
                </c:pt>
                <c:pt idx="15">
                  <c:v>16.421052631578945</c:v>
                </c:pt>
                <c:pt idx="16">
                  <c:v>12.315789473684205</c:v>
                </c:pt>
                <c:pt idx="17">
                  <c:v>8.2105263157894655</c:v>
                </c:pt>
                <c:pt idx="18">
                  <c:v>4.1052631578947256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4682-8E46-DFAF46B7CF64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79.714285714285722</c:v>
                </c:pt>
                <c:pt idx="1">
                  <c:v>66.028571428571439</c:v>
                </c:pt>
                <c:pt idx="2">
                  <c:v>52.342857142857149</c:v>
                </c:pt>
                <c:pt idx="3">
                  <c:v>38.657142857142865</c:v>
                </c:pt>
                <c:pt idx="4">
                  <c:v>24.971428571428575</c:v>
                </c:pt>
                <c:pt idx="5">
                  <c:v>11.285714285714292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5796504"/>
        <c:axId val="14667545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667545"/>
        <c:crosses val="autoZero"/>
        <c:auto val="1"/>
        <c:lblAlgn val="ctr"/>
        <c:lblOffset val="100"/>
        <c:noMultiLvlLbl val="1"/>
      </c:catAx>
      <c:valAx>
        <c:axId val="1466754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95796504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638744571" name="Chart 1">
          <a:extLst>
            <a:ext uri="{FF2B5EF4-FFF2-40B4-BE49-F238E27FC236}">
              <a16:creationId xmlns:a16="http://schemas.microsoft.com/office/drawing/2014/main" id="{00000000-0008-0000-0000-0000FB41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50470480" name="Chart 2">
          <a:extLst>
            <a:ext uri="{FF2B5EF4-FFF2-40B4-BE49-F238E27FC236}">
              <a16:creationId xmlns:a16="http://schemas.microsoft.com/office/drawing/2014/main" id="{00000000-0008-0000-0100-00005026B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0606068" name="Chart 3">
          <a:extLst>
            <a:ext uri="{FF2B5EF4-FFF2-40B4-BE49-F238E27FC236}">
              <a16:creationId xmlns:a16="http://schemas.microsoft.com/office/drawing/2014/main" id="{00000000-0008-0000-0200-0000F40A8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F1000"/>
  <sheetViews>
    <sheetView workbookViewId="0">
      <selection activeCell="H24" sqref="H24"/>
    </sheetView>
  </sheetViews>
  <sheetFormatPr baseColWidth="10" defaultColWidth="12.7109375" defaultRowHeight="15" customHeight="1" x14ac:dyDescent="0.2"/>
  <cols>
    <col min="1" max="1" width="3.28515625" customWidth="1"/>
    <col min="2" max="2" width="7" customWidth="1"/>
    <col min="3" max="3" width="79.42578125" customWidth="1"/>
    <col min="4" max="4" width="10.7109375" customWidth="1"/>
    <col min="5" max="5" width="13.7109375" customWidth="1"/>
    <col min="6" max="6" width="18" customWidth="1"/>
    <col min="7" max="7" width="11.14062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3" t="s">
        <v>5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8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1'!TaskRows,1))</f>
        <v>29</v>
      </c>
      <c r="H17" s="24">
        <f ca="1">IF(AND(SUM(OFFSET(H21,1,0,'Sprint 1'!TaskRows,1))=0),0,SUM(OFFSET(H21,1,0,'Sprint 1'!TaskRows,1)))</f>
        <v>29</v>
      </c>
      <c r="I17" s="24">
        <f ca="1">IF(AND(SUM(OFFSET(I21,1,0,'Sprint 1'!TaskRows,1))=0),"",SUM(OFFSET(I21,1,0,'Sprint 1'!TaskRows,1)))</f>
        <v>22</v>
      </c>
      <c r="J17" s="24">
        <f ca="1">IF(AND(SUM(OFFSET(J21,1,0,'Sprint 1'!TaskRows,1))=0),"",SUM(OFFSET(J21,1,0,'Sprint 1'!TaskRows,1)))</f>
        <v>16</v>
      </c>
      <c r="K17" s="24">
        <f ca="1">IF(AND(SUM(OFFSET(K21,1,0,'Sprint 1'!TaskRows,1))=0),"",SUM(OFFSET(K21,1,0,'Sprint 1'!TaskRows,1)))</f>
        <v>10</v>
      </c>
      <c r="L17" s="24" t="str">
        <f ca="1">IF(AND(SUM(OFFSET(L21,1,0,'Sprint 1'!TaskRows,1))=0),"",SUM(OFFSET(L21,1,0,'Sprint 1'!TaskRows,1)))</f>
        <v/>
      </c>
      <c r="M17" s="24" t="str">
        <f ca="1">IF(AND(SUM(OFFSET(M21,1,0,'Sprint 1'!TaskRows,1))=0),"",SUM(OFFSET(M21,1,0,'Sprint 1'!TaskRows,1)))</f>
        <v/>
      </c>
      <c r="N17" s="24" t="str">
        <f ca="1">IF(AND(SUM(OFFSET(N21,1,0,'Sprint 1'!TaskRows,1))=0),"",SUM(OFFSET(N21,1,0,'Sprint 1'!TaskRows,1)))</f>
        <v/>
      </c>
      <c r="O17" s="24" t="str">
        <f ca="1">IF(AND(SUM(OFFSET(O21,1,0,'Sprint 1'!TaskRows,1))=0),"",SUM(OFFSET(O21,1,0,'Sprint 1'!TaskRows,1)))</f>
        <v/>
      </c>
      <c r="P17" s="24" t="str">
        <f ca="1">IF(AND(SUM(OFFSET(P21,1,0,'Sprint 1'!TaskRows,1))=0),"",SUM(OFFSET(P21,1,0,'Sprint 1'!TaskRows,1)))</f>
        <v/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9</v>
      </c>
      <c r="E18" s="21" t="s">
        <v>13</v>
      </c>
      <c r="F18" s="1">
        <f ca="1">IF(COUNTIF(H17:AF17,"&gt;0")=0,1,COUNTIF(H17:AF17,"&gt;0"))</f>
        <v>4</v>
      </c>
      <c r="G18" s="1"/>
      <c r="H18" s="1">
        <f ca="1">IF(H21="","",$G17-$G17/($D16-1)*(H21-1))</f>
        <v>29</v>
      </c>
      <c r="I18" s="1">
        <f ca="1">IF(I21="","",'Sprint 1'!TotalEffort-'Sprint 1'!TotalEffort/('Sprint 1'!ImplementationDays)*(I21-1))</f>
        <v>25.375</v>
      </c>
      <c r="J18" s="1">
        <f ca="1">IF(J21="","",'Sprint 1'!TotalEffort-'Sprint 1'!TotalEffort/('Sprint 1'!ImplementationDays)*(J21-1))</f>
        <v>21.75</v>
      </c>
      <c r="K18" s="1">
        <f ca="1">IF(K21="","",'Sprint 1'!TotalEffort-'Sprint 1'!TotalEffort/('Sprint 1'!ImplementationDays)*(K21-1))</f>
        <v>18.125</v>
      </c>
      <c r="L18" s="1">
        <f ca="1">IF(L21="","",'Sprint 1'!TotalEffort-'Sprint 1'!TotalEffort/('Sprint 1'!ImplementationDays)*(L21-1))</f>
        <v>14.5</v>
      </c>
      <c r="M18" s="1">
        <f ca="1">IF(M21="","",'Sprint 1'!TotalEffort-'Sprint 1'!TotalEffort/('Sprint 1'!ImplementationDays)*(M21-1))</f>
        <v>10.875</v>
      </c>
      <c r="N18" s="1">
        <f ca="1">IF(N21="","",'Sprint 1'!TotalEffort-'Sprint 1'!TotalEffort/('Sprint 1'!ImplementationDays)*(N21-1))</f>
        <v>7.25</v>
      </c>
      <c r="O18" s="1">
        <f ca="1">IF(O21="","",'Sprint 1'!TotalEffort-'Sprint 1'!TotalEffort/('Sprint 1'!ImplementationDays)*(O21-1))</f>
        <v>3.625</v>
      </c>
      <c r="P18" s="1" t="str">
        <f>IF(P21="","",'Sprint 1'!TotalEffort-'Sprint 1'!TotalEffort/('Sprint 1'!ImplementationDays)*(P21-1))</f>
        <v/>
      </c>
      <c r="Q18" s="1" t="str">
        <f>IF(Q21="","",'Sprint 1'!TotalEffort-'Sprint 1'!TotalEffort/('Sprint 1'!ImplementationDays)*(Q21-1))</f>
        <v/>
      </c>
      <c r="R18" s="1" t="str">
        <f>IF(R21="","",'Sprint 1'!TotalEffort-'Sprint 1'!TotalEffort/('Sprint 1'!ImplementationDays)*(R21-1))</f>
        <v/>
      </c>
      <c r="S18" s="1" t="str">
        <f>IF(S21="","",'Sprint 1'!TotalEffort-'Sprint 1'!TotalEffort/('Sprint 1'!ImplementationDays)*(S21-1))</f>
        <v/>
      </c>
      <c r="T18" s="1" t="str">
        <f>IF(T21="","",'Sprint 1'!TotalEffort-'Sprint 1'!TotalEffort/('Sprint 1'!ImplementationDays)*(T21-1))</f>
        <v/>
      </c>
      <c r="U18" s="1" t="str">
        <f>IF(U21="","",'Sprint 1'!TotalEffort-'Sprint 1'!TotalEffort/('Sprint 1'!ImplementationDays)*(U21-1))</f>
        <v/>
      </c>
      <c r="V18" s="1" t="str">
        <f>IF(V21="","",'Sprint 1'!TotalEffort-'Sprint 1'!TotalEffort/('Sprint 1'!ImplementationDays)*(V21-1))</f>
        <v/>
      </c>
      <c r="W18" s="1" t="str">
        <f>IF(W21="","",'Sprint 1'!TotalEffort-'Sprint 1'!TotalEffort/('Sprint 1'!ImplementationDays)*(W21-1))</f>
        <v/>
      </c>
      <c r="X18" s="1" t="str">
        <f>IF(X21="","",'Sprint 1'!TotalEffort-'Sprint 1'!TotalEffort/('Sprint 1'!ImplementationDays)*(X21-1))</f>
        <v/>
      </c>
      <c r="Y18" s="1" t="str">
        <f>IF(Y21="","",'Sprint 1'!TotalEffort-'Sprint 1'!TotalEffort/('Sprint 1'!ImplementationDays)*(Y21-1))</f>
        <v/>
      </c>
      <c r="Z18" s="1" t="str">
        <f>IF(Z21="","",'Sprint 1'!TotalEffort-'Sprint 1'!TotalEffort/('Sprint 1'!ImplementationDays)*(Z21-1))</f>
        <v/>
      </c>
      <c r="AA18" s="1" t="str">
        <f>IF(AA21="","",'Sprint 1'!TotalEffort-'Sprint 1'!TotalEffort/('Sprint 1'!ImplementationDays)*(AA21-1))</f>
        <v/>
      </c>
      <c r="AB18" s="1" t="str">
        <f>IF(AB21="","",'Sprint 1'!TotalEffort-'Sprint 1'!TotalEffort/('Sprint 1'!ImplementationDays)*(AB21-1))</f>
        <v/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16.099999999999998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9.7999999999999972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3.4999999999999964</v>
      </c>
      <c r="M19" s="1" t="str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1'!DoneDays&gt;D17,D17,'Sprint 1'!DoneDays)</f>
        <v>4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B22" s="21">
        <v>1.1000000000000001</v>
      </c>
      <c r="C22" s="27" t="s">
        <v>24</v>
      </c>
      <c r="D22" s="1" t="s">
        <v>25</v>
      </c>
      <c r="E22" s="21" t="s">
        <v>26</v>
      </c>
      <c r="F22" s="21" t="s">
        <v>43</v>
      </c>
      <c r="G22" s="28">
        <v>4</v>
      </c>
      <c r="H22" s="28">
        <v>4</v>
      </c>
      <c r="I22" s="28">
        <v>3</v>
      </c>
      <c r="J22" s="28">
        <v>2</v>
      </c>
      <c r="K22" s="28">
        <v>1</v>
      </c>
      <c r="L22" s="28">
        <v>0</v>
      </c>
      <c r="M22" s="29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1">IF(OR(AE$21="",$G22=""),"",AD22)</f>
        <v/>
      </c>
      <c r="AF22" s="1" t="str">
        <f t="shared" si="1"/>
        <v/>
      </c>
    </row>
    <row r="23" spans="2:32" ht="12.75" customHeight="1" x14ac:dyDescent="0.25">
      <c r="B23" s="21">
        <v>1.2</v>
      </c>
      <c r="C23" s="27" t="s">
        <v>27</v>
      </c>
      <c r="D23" s="1" t="s">
        <v>25</v>
      </c>
      <c r="E23" s="21" t="s">
        <v>26</v>
      </c>
      <c r="F23" s="21" t="s">
        <v>43</v>
      </c>
      <c r="G23" s="28">
        <v>3</v>
      </c>
      <c r="H23" s="28">
        <v>3</v>
      </c>
      <c r="I23" s="28">
        <v>2</v>
      </c>
      <c r="J23" s="28">
        <v>2</v>
      </c>
      <c r="K23" s="28">
        <v>1</v>
      </c>
      <c r="L23" s="28">
        <v>0</v>
      </c>
      <c r="M23" s="29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2">IF(OR(AE$21="",$G23=""),"",AD23)</f>
        <v/>
      </c>
      <c r="AF23" s="1" t="str">
        <f t="shared" si="2"/>
        <v/>
      </c>
    </row>
    <row r="24" spans="2:32" ht="12.75" customHeight="1" x14ac:dyDescent="0.25">
      <c r="B24" s="21">
        <v>1.3</v>
      </c>
      <c r="C24" s="27" t="s">
        <v>28</v>
      </c>
      <c r="D24" s="1" t="s">
        <v>25</v>
      </c>
      <c r="E24" s="21" t="s">
        <v>26</v>
      </c>
      <c r="F24" s="21" t="s">
        <v>43</v>
      </c>
      <c r="G24" s="28">
        <v>3</v>
      </c>
      <c r="H24" s="28">
        <v>3</v>
      </c>
      <c r="I24" s="28">
        <v>2</v>
      </c>
      <c r="J24" s="28">
        <v>1</v>
      </c>
      <c r="K24" s="28">
        <v>1</v>
      </c>
      <c r="L24" s="28">
        <v>0</v>
      </c>
      <c r="M24" s="29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3">IF(OR(AE$21="",$G24=""),"",AD24)</f>
        <v/>
      </c>
      <c r="AF24" s="1" t="str">
        <f t="shared" si="3"/>
        <v/>
      </c>
    </row>
    <row r="25" spans="2:32" ht="12.75" customHeight="1" x14ac:dyDescent="0.25">
      <c r="B25" s="21">
        <v>1.4</v>
      </c>
      <c r="C25" s="27" t="s">
        <v>29</v>
      </c>
      <c r="D25" s="1" t="s">
        <v>25</v>
      </c>
      <c r="E25" s="21" t="s">
        <v>30</v>
      </c>
      <c r="F25" s="21" t="s">
        <v>43</v>
      </c>
      <c r="G25" s="28">
        <v>3</v>
      </c>
      <c r="H25" s="28">
        <v>3</v>
      </c>
      <c r="I25" s="28">
        <v>3</v>
      </c>
      <c r="J25" s="28">
        <v>2</v>
      </c>
      <c r="K25" s="28">
        <v>1</v>
      </c>
      <c r="L25" s="28">
        <v>0</v>
      </c>
      <c r="M25" s="29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4">IF(OR(AE$21="",$G25=""),"",AD25)</f>
        <v/>
      </c>
      <c r="AF25" s="1" t="str">
        <f t="shared" si="4"/>
        <v/>
      </c>
    </row>
    <row r="26" spans="2:32" ht="12.75" customHeight="1" x14ac:dyDescent="0.25">
      <c r="B26" s="21">
        <v>2.1</v>
      </c>
      <c r="C26" s="27" t="s">
        <v>31</v>
      </c>
      <c r="D26" s="1" t="s">
        <v>32</v>
      </c>
      <c r="E26" s="21" t="s">
        <v>30</v>
      </c>
      <c r="F26" s="21" t="s">
        <v>43</v>
      </c>
      <c r="G26" s="28">
        <v>5</v>
      </c>
      <c r="H26" s="28">
        <v>5</v>
      </c>
      <c r="I26" s="28">
        <v>4</v>
      </c>
      <c r="J26" s="28">
        <v>3</v>
      </c>
      <c r="K26" s="28">
        <v>2</v>
      </c>
      <c r="L26" s="28">
        <v>0</v>
      </c>
      <c r="M26" s="29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5">IF(OR(AE$21="",$G26=""),"",AD26)</f>
        <v/>
      </c>
      <c r="AF26" s="1" t="str">
        <f t="shared" si="5"/>
        <v/>
      </c>
    </row>
    <row r="27" spans="2:32" ht="12.75" customHeight="1" x14ac:dyDescent="0.25">
      <c r="B27" s="21">
        <v>2.2000000000000002</v>
      </c>
      <c r="C27" s="27" t="s">
        <v>33</v>
      </c>
      <c r="D27" s="1" t="s">
        <v>32</v>
      </c>
      <c r="E27" s="21" t="s">
        <v>30</v>
      </c>
      <c r="F27" s="21" t="s">
        <v>43</v>
      </c>
      <c r="G27" s="28">
        <v>3</v>
      </c>
      <c r="H27" s="28">
        <v>3</v>
      </c>
      <c r="I27" s="28">
        <v>2</v>
      </c>
      <c r="J27" s="28">
        <v>2</v>
      </c>
      <c r="K27" s="28">
        <v>1</v>
      </c>
      <c r="L27" s="28">
        <v>0</v>
      </c>
      <c r="M27" s="29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6">IF(OR(AE$21="",$G27=""),"",AD27)</f>
        <v/>
      </c>
      <c r="AF27" s="1" t="str">
        <f t="shared" si="6"/>
        <v/>
      </c>
    </row>
    <row r="28" spans="2:32" ht="12.75" customHeight="1" x14ac:dyDescent="0.25">
      <c r="B28" s="21">
        <v>3.1</v>
      </c>
      <c r="C28" s="27" t="s">
        <v>34</v>
      </c>
      <c r="D28" s="1" t="s">
        <v>35</v>
      </c>
      <c r="E28" s="21" t="s">
        <v>36</v>
      </c>
      <c r="F28" s="21" t="s">
        <v>43</v>
      </c>
      <c r="G28" s="28">
        <v>3</v>
      </c>
      <c r="H28" s="28">
        <v>3</v>
      </c>
      <c r="I28" s="28">
        <v>2</v>
      </c>
      <c r="J28" s="28">
        <v>2</v>
      </c>
      <c r="K28" s="28">
        <v>1</v>
      </c>
      <c r="L28" s="28">
        <v>0</v>
      </c>
      <c r="M28" s="29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7">IF(OR(AE$21="",$G28=""),"",AD28)</f>
        <v/>
      </c>
      <c r="AF28" s="1" t="str">
        <f t="shared" si="7"/>
        <v/>
      </c>
    </row>
    <row r="29" spans="2:32" ht="12.75" customHeight="1" x14ac:dyDescent="0.25">
      <c r="B29" s="21">
        <v>3.2</v>
      </c>
      <c r="C29" s="27" t="s">
        <v>38</v>
      </c>
      <c r="D29" s="1" t="s">
        <v>35</v>
      </c>
      <c r="E29" s="21" t="s">
        <v>36</v>
      </c>
      <c r="F29" s="21" t="s">
        <v>43</v>
      </c>
      <c r="G29" s="28">
        <v>3</v>
      </c>
      <c r="H29" s="28">
        <v>3</v>
      </c>
      <c r="I29" s="28">
        <v>2</v>
      </c>
      <c r="J29" s="28">
        <v>1</v>
      </c>
      <c r="K29" s="28">
        <v>1</v>
      </c>
      <c r="L29" s="28">
        <v>0</v>
      </c>
      <c r="M29" s="29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8">IF(OR(AE$21="",$G29=""),"",AD29)</f>
        <v/>
      </c>
      <c r="AF29" s="1" t="str">
        <f t="shared" si="8"/>
        <v/>
      </c>
    </row>
    <row r="30" spans="2:32" ht="12.75" customHeight="1" x14ac:dyDescent="0.25">
      <c r="B30" s="21">
        <v>3.3</v>
      </c>
      <c r="C30" s="27" t="s">
        <v>39</v>
      </c>
      <c r="D30" s="1" t="s">
        <v>35</v>
      </c>
      <c r="E30" s="21" t="s">
        <v>36</v>
      </c>
      <c r="F30" s="21" t="s">
        <v>43</v>
      </c>
      <c r="G30" s="28">
        <v>2</v>
      </c>
      <c r="H30" s="28">
        <v>2</v>
      </c>
      <c r="I30" s="28">
        <v>2</v>
      </c>
      <c r="J30" s="28">
        <v>1</v>
      </c>
      <c r="K30" s="28">
        <v>1</v>
      </c>
      <c r="L30" s="28">
        <v>0</v>
      </c>
      <c r="M30" s="2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9">IF(OR(AE$21="",$G30=""),"",AD30)</f>
        <v/>
      </c>
      <c r="AF30" s="1" t="str">
        <f t="shared" si="9"/>
        <v/>
      </c>
    </row>
    <row r="31" spans="2:32" ht="12.75" customHeight="1" x14ac:dyDescent="0.2">
      <c r="D31" s="1"/>
      <c r="F31" s="21" t="str">
        <f t="shared" ref="F31:F63" si="10">IF(C31&lt;&gt;"","Planned","")</f>
        <v/>
      </c>
      <c r="G31" s="1"/>
      <c r="H31" s="1" t="str">
        <f t="shared" ref="H31:H66" si="11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0"/>
        <v/>
      </c>
      <c r="G32" s="1"/>
      <c r="H32" s="1" t="str">
        <f t="shared" si="1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0"/>
        <v/>
      </c>
      <c r="G33" s="1"/>
      <c r="H33" s="1" t="str">
        <f t="shared" si="1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0"/>
        <v/>
      </c>
      <c r="G34" s="1"/>
      <c r="H34" s="1" t="str">
        <f t="shared" si="1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0"/>
        <v/>
      </c>
      <c r="G35" s="1"/>
      <c r="H35" s="1" t="str">
        <f t="shared" si="1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0"/>
        <v/>
      </c>
      <c r="G36" s="1"/>
      <c r="H36" s="1" t="str">
        <f t="shared" si="1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0"/>
        <v/>
      </c>
      <c r="G37" s="1"/>
      <c r="H37" s="1" t="str">
        <f t="shared" si="1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0"/>
        <v/>
      </c>
      <c r="G38" s="1"/>
      <c r="H38" s="1" t="str">
        <f t="shared" si="1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0"/>
        <v/>
      </c>
      <c r="G39" s="1"/>
      <c r="H39" s="1" t="str">
        <f t="shared" si="1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0"/>
        <v/>
      </c>
      <c r="G40" s="1"/>
      <c r="H40" s="1" t="str">
        <f t="shared" si="1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0"/>
        <v/>
      </c>
      <c r="G41" s="1"/>
      <c r="H41" s="1" t="str">
        <f t="shared" si="1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0"/>
        <v/>
      </c>
      <c r="G42" s="1"/>
      <c r="H42" s="1" t="str">
        <f t="shared" si="1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0"/>
        <v/>
      </c>
      <c r="G43" s="1"/>
      <c r="H43" s="1" t="str">
        <f t="shared" si="1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0"/>
        <v/>
      </c>
      <c r="G44" s="1"/>
      <c r="H44" s="1" t="str">
        <f t="shared" si="1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0"/>
        <v/>
      </c>
      <c r="G45" s="1"/>
      <c r="H45" s="1" t="str">
        <f t="shared" si="1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0"/>
        <v/>
      </c>
      <c r="G46" s="1"/>
      <c r="H46" s="1" t="str">
        <f t="shared" si="1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0"/>
        <v/>
      </c>
      <c r="G47" s="1"/>
      <c r="H47" s="1" t="str">
        <f t="shared" si="1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0"/>
        <v/>
      </c>
      <c r="G48" s="1"/>
      <c r="H48" s="1" t="str">
        <f t="shared" si="1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0"/>
        <v/>
      </c>
      <c r="G49" s="1"/>
      <c r="H49" s="1" t="str">
        <f t="shared" si="1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0"/>
        <v/>
      </c>
      <c r="G50" s="1"/>
      <c r="H50" s="1" t="str">
        <f t="shared" si="1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0"/>
        <v/>
      </c>
      <c r="G51" s="1"/>
      <c r="H51" s="1" t="str">
        <f t="shared" si="1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0"/>
        <v/>
      </c>
      <c r="G52" s="1"/>
      <c r="H52" s="1" t="str">
        <f t="shared" si="1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0"/>
        <v/>
      </c>
      <c r="G53" s="1"/>
      <c r="H53" s="1" t="str">
        <f t="shared" si="1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0"/>
        <v/>
      </c>
      <c r="G54" s="1"/>
      <c r="H54" s="1" t="str">
        <f t="shared" si="1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0"/>
        <v/>
      </c>
      <c r="G55" s="1"/>
      <c r="H55" s="1" t="str">
        <f t="shared" si="1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0"/>
        <v/>
      </c>
      <c r="G56" s="1"/>
      <c r="H56" s="1" t="str">
        <f t="shared" si="1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0"/>
        <v/>
      </c>
      <c r="G57" s="1"/>
      <c r="H57" s="1" t="str">
        <f t="shared" si="1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0"/>
        <v/>
      </c>
      <c r="G58" s="1"/>
      <c r="H58" s="1" t="str">
        <f t="shared" si="1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0"/>
        <v/>
      </c>
      <c r="G59" s="1"/>
      <c r="H59" s="1" t="str">
        <f t="shared" si="1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0"/>
        <v/>
      </c>
      <c r="G60" s="1"/>
      <c r="H60" s="1" t="str">
        <f t="shared" si="1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0"/>
        <v/>
      </c>
      <c r="G61" s="1"/>
      <c r="H61" s="1" t="str">
        <f t="shared" si="1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0"/>
        <v/>
      </c>
      <c r="G62" s="1"/>
      <c r="H62" s="1" t="str">
        <f t="shared" si="1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0"/>
        <v/>
      </c>
      <c r="G63" s="1"/>
      <c r="H63" s="1" t="str">
        <f t="shared" si="1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4:32" ht="12.75" customHeight="1" x14ac:dyDescent="0.2">
      <c r="D65" s="1"/>
      <c r="F65" s="21" t="s">
        <v>41</v>
      </c>
      <c r="G65" s="1"/>
      <c r="H65" s="1" t="str">
        <f t="shared" si="1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4:32" ht="12.75" customHeight="1" x14ac:dyDescent="0.2">
      <c r="D66" s="1"/>
      <c r="F66" s="21" t="s">
        <v>42</v>
      </c>
      <c r="G66" s="1"/>
      <c r="H66" s="1" t="str">
        <f t="shared" si="1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4" priority="3" stopIfTrue="1">
      <formula>$F22="Terminado"</formula>
    </cfRule>
    <cfRule type="expression" dxfId="13" priority="4" stopIfTrue="1">
      <formula>$F22="En Progreso"</formula>
    </cfRule>
  </conditionalFormatting>
  <conditionalFormatting sqref="L22:AF65 C26:K65">
    <cfRule type="expression" dxfId="12" priority="1" stopIfTrue="1">
      <formula>$F18="Done"</formula>
    </cfRule>
    <cfRule type="expression" dxfId="11" priority="2" stopIfTrue="1">
      <formula>$F18="Ongoing"</formula>
    </cfRule>
  </conditionalFormatting>
  <dataValidations count="1">
    <dataValidation type="list" allowBlank="1" sqref="F10:F15 F22:F71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1000"/>
  <sheetViews>
    <sheetView tabSelected="1" topLeftCell="C21" workbookViewId="0">
      <selection activeCell="C32" sqref="C32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100.425781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19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2'!TaskRows,1))</f>
        <v>78</v>
      </c>
      <c r="H17" s="24">
        <f ca="1">IF(AND(SUM(OFFSET(H21,1,0,'Sprint 2'!TaskRows,1))=0),0,SUM(OFFSET(H21,1,0,'Sprint 2'!TaskRows,1)))</f>
        <v>78</v>
      </c>
      <c r="I17" s="24">
        <f ca="1">IF(AND(SUM(OFFSET(I21,1,0,'Sprint 2'!TaskRows,1))=0),"",SUM(OFFSET(I21,1,0,'Sprint 2'!TaskRows,1)))</f>
        <v>67</v>
      </c>
      <c r="J17" s="24">
        <f ca="1">IF(AND(SUM(OFFSET(J21,1,0,'Sprint 2'!TaskRows,1))=0),"",SUM(OFFSET(J21,1,0,'Sprint 2'!TaskRows,1)))</f>
        <v>53</v>
      </c>
      <c r="K17" s="24">
        <f ca="1">IF(AND(SUM(OFFSET(K21,1,0,'Sprint 2'!TaskRows,1))=0),"",SUM(OFFSET(K21,1,0,'Sprint 2'!TaskRows,1)))</f>
        <v>40</v>
      </c>
      <c r="L17" s="24">
        <f ca="1">IF(AND(SUM(OFFSET(L21,1,0,'Sprint 2'!TaskRows,1))=0),"",SUM(OFFSET(L21,1,0,'Sprint 2'!TaskRows,1)))</f>
        <v>25</v>
      </c>
      <c r="M17" s="24">
        <f ca="1">IF(AND(SUM(OFFSET(M21,1,0,'Sprint 2'!TaskRows,1))=0),"",SUM(OFFSET(M21,1,0,'Sprint 2'!TaskRows,1)))</f>
        <v>10</v>
      </c>
      <c r="N17" s="24" t="str">
        <f ca="1">IF(AND(SUM(OFFSET(N21,1,0,'Sprint 2'!TaskRows,1))=0),"",SUM(OFFSET(N21,1,0,'Sprint 2'!TaskRows,1)))</f>
        <v/>
      </c>
      <c r="O17" s="24" t="str">
        <f ca="1">IF(AND(SUM(OFFSET(O21,1,0,'Sprint 2'!TaskRows,1))=0),"",SUM(OFFSET(O21,1,0,'Sprint 2'!TaskRows,1)))</f>
        <v/>
      </c>
      <c r="P17" s="24" t="str">
        <f ca="1">IF(AND(SUM(OFFSET(P21,1,0,'Sprint 2'!TaskRows,1))=0),"",SUM(OFFSET(P21,1,0,'Sprint 2'!TaskRows,1)))</f>
        <v/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15</v>
      </c>
      <c r="E18" s="21" t="s">
        <v>13</v>
      </c>
      <c r="F18" s="1">
        <f ca="1">IF(COUNTIF(H17:AF17,"&gt;0")=0,1,COUNTIF(H17:AF17,"&gt;0"))</f>
        <v>6</v>
      </c>
      <c r="G18" s="1"/>
      <c r="H18" s="1">
        <f ca="1">IF(H21="","",$G17-$G17/($D16-1)*(H21-1))</f>
        <v>78</v>
      </c>
      <c r="I18" s="1">
        <f ca="1">IF(I21="","",'Sprint 2'!TotalEffort-'Sprint 2'!TotalEffort/('Sprint 2'!ImplementationDays)*(I21-1))</f>
        <v>73.89473684210526</v>
      </c>
      <c r="J18" s="1">
        <f ca="1">IF(J21="","",'Sprint 2'!TotalEffort-'Sprint 2'!TotalEffort/('Sprint 2'!ImplementationDays)*(J21-1))</f>
        <v>69.78947368421052</v>
      </c>
      <c r="K18" s="1">
        <f ca="1">IF(K21="","",'Sprint 2'!TotalEffort-'Sprint 2'!TotalEffort/('Sprint 2'!ImplementationDays)*(K21-1))</f>
        <v>65.68421052631578</v>
      </c>
      <c r="L18" s="1">
        <f ca="1">IF(L21="","",'Sprint 2'!TotalEffort-'Sprint 2'!TotalEffort/('Sprint 2'!ImplementationDays)*(L21-1))</f>
        <v>61.578947368421055</v>
      </c>
      <c r="M18" s="1">
        <f ca="1">IF(M21="","",'Sprint 2'!TotalEffort-'Sprint 2'!TotalEffort/('Sprint 2'!ImplementationDays)*(M21-1))</f>
        <v>57.473684210526315</v>
      </c>
      <c r="N18" s="1">
        <f ca="1">IF(N21="","",'Sprint 2'!TotalEffort-'Sprint 2'!TotalEffort/('Sprint 2'!ImplementationDays)*(N21-1))</f>
        <v>53.368421052631575</v>
      </c>
      <c r="O18" s="1">
        <f ca="1">IF(O21="","",'Sprint 2'!TotalEffort-'Sprint 2'!TotalEffort/('Sprint 2'!ImplementationDays)*(O21-1))</f>
        <v>49.263157894736835</v>
      </c>
      <c r="P18" s="1">
        <f ca="1">IF(P21="","",'Sprint 2'!TotalEffort-'Sprint 2'!TotalEffort/('Sprint 2'!ImplementationDays)*(P21-1))</f>
        <v>45.157894736842103</v>
      </c>
      <c r="Q18" s="1">
        <f ca="1">IF(Q21="","",'Sprint 2'!TotalEffort-'Sprint 2'!TotalEffort/('Sprint 2'!ImplementationDays)*(Q21-1))</f>
        <v>41.052631578947363</v>
      </c>
      <c r="R18" s="1">
        <f ca="1">IF(R21="","",'Sprint 2'!TotalEffort-'Sprint 2'!TotalEffort/('Sprint 2'!ImplementationDays)*(R21-1))</f>
        <v>36.94736842105263</v>
      </c>
      <c r="S18" s="1">
        <f ca="1">IF(S21="","",'Sprint 2'!TotalEffort-'Sprint 2'!TotalEffort/('Sprint 2'!ImplementationDays)*(S21-1))</f>
        <v>32.84210526315789</v>
      </c>
      <c r="T18" s="1">
        <f ca="1">IF(T21="","",'Sprint 2'!TotalEffort-'Sprint 2'!TotalEffort/('Sprint 2'!ImplementationDays)*(T21-1))</f>
        <v>28.73684210526315</v>
      </c>
      <c r="U18" s="1">
        <f ca="1">IF(U21="","",'Sprint 2'!TotalEffort-'Sprint 2'!TotalEffort/('Sprint 2'!ImplementationDays)*(U21-1))</f>
        <v>24.631578947368418</v>
      </c>
      <c r="V18" s="1">
        <f ca="1">IF(V21="","",'Sprint 2'!TotalEffort-'Sprint 2'!TotalEffort/('Sprint 2'!ImplementationDays)*(V21-1))</f>
        <v>20.526315789473678</v>
      </c>
      <c r="W18" s="1">
        <f ca="1">IF(W21="","",'Sprint 2'!TotalEffort-'Sprint 2'!TotalEffort/('Sprint 2'!ImplementationDays)*(W21-1))</f>
        <v>16.421052631578945</v>
      </c>
      <c r="X18" s="1">
        <f ca="1">IF(X21="","",'Sprint 2'!TotalEffort-'Sprint 2'!TotalEffort/('Sprint 2'!ImplementationDays)*(X21-1))</f>
        <v>12.315789473684205</v>
      </c>
      <c r="Y18" s="1">
        <f ca="1">IF(Y21="","",'Sprint 2'!TotalEffort-'Sprint 2'!TotalEffort/('Sprint 2'!ImplementationDays)*(Y21-1))</f>
        <v>8.2105263157894655</v>
      </c>
      <c r="Z18" s="1">
        <f ca="1">IF(Z21="","",'Sprint 2'!TotalEffort-'Sprint 2'!TotalEffort/('Sprint 2'!ImplementationDays)*(Z21-1))</f>
        <v>4.1052631578947256</v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79.714285714285722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66.028571428571439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52.342857142857149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38.657142857142865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24.971428571428575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11.285714285714292</v>
      </c>
      <c r="N19" s="1" t="str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/>
      </c>
      <c r="O19" s="1" t="str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/>
      </c>
      <c r="P19" s="1" t="str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/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2'!DoneDays&gt;D17,D17,'Sprint 2'!DoneDays)</f>
        <v>6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>
        <f t="shared" si="0"/>
        <v>11</v>
      </c>
      <c r="S21" s="26">
        <f t="shared" si="0"/>
        <v>12</v>
      </c>
      <c r="T21" s="26">
        <f t="shared" si="0"/>
        <v>13</v>
      </c>
      <c r="U21" s="26">
        <f t="shared" si="0"/>
        <v>14</v>
      </c>
      <c r="V21" s="26">
        <f t="shared" si="0"/>
        <v>15</v>
      </c>
      <c r="W21" s="26">
        <f t="shared" si="0"/>
        <v>16</v>
      </c>
      <c r="X21" s="26">
        <f t="shared" si="0"/>
        <v>17</v>
      </c>
      <c r="Y21" s="26">
        <f t="shared" si="0"/>
        <v>18</v>
      </c>
      <c r="Z21" s="26">
        <f t="shared" si="0"/>
        <v>19</v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4.0999999999999996</v>
      </c>
      <c r="C22" s="21" t="s">
        <v>44</v>
      </c>
      <c r="D22" s="1">
        <v>4</v>
      </c>
      <c r="E22" s="21" t="s">
        <v>26</v>
      </c>
      <c r="F22" s="21" t="s">
        <v>37</v>
      </c>
      <c r="G22" s="1">
        <v>6</v>
      </c>
      <c r="H22" s="1">
        <f t="shared" ref="H22:I66" si="1">IF(OR(H$21="",$G22=""),"",G22)</f>
        <v>6</v>
      </c>
      <c r="I22" s="1">
        <v>5</v>
      </c>
      <c r="J22" s="1">
        <v>4</v>
      </c>
      <c r="K22" s="1">
        <v>3</v>
      </c>
      <c r="L22" s="1">
        <v>2</v>
      </c>
      <c r="M22" s="1">
        <v>1</v>
      </c>
      <c r="N22" s="1"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4.2</v>
      </c>
      <c r="C23" s="21" t="s">
        <v>45</v>
      </c>
      <c r="D23" s="1">
        <v>4</v>
      </c>
      <c r="E23" s="21" t="s">
        <v>26</v>
      </c>
      <c r="F23" s="21" t="s">
        <v>37</v>
      </c>
      <c r="G23" s="1">
        <v>4</v>
      </c>
      <c r="H23" s="1">
        <f t="shared" si="1"/>
        <v>4</v>
      </c>
      <c r="I23" s="1">
        <v>3</v>
      </c>
      <c r="J23" s="1">
        <v>3</v>
      </c>
      <c r="K23" s="1">
        <v>2</v>
      </c>
      <c r="L23" s="1">
        <v>1</v>
      </c>
      <c r="M23" s="1">
        <v>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4.3</v>
      </c>
      <c r="C24" s="21" t="s">
        <v>46</v>
      </c>
      <c r="D24" s="1">
        <v>4</v>
      </c>
      <c r="E24" s="21" t="s">
        <v>26</v>
      </c>
      <c r="F24" s="21" t="s">
        <v>37</v>
      </c>
      <c r="G24" s="1">
        <v>4</v>
      </c>
      <c r="H24" s="1">
        <f t="shared" si="1"/>
        <v>4</v>
      </c>
      <c r="I24" s="1">
        <v>4</v>
      </c>
      <c r="J24" s="1">
        <v>3</v>
      </c>
      <c r="K24" s="1">
        <v>2</v>
      </c>
      <c r="L24" s="1">
        <v>1</v>
      </c>
      <c r="M24" s="1">
        <v>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B25" s="21">
        <v>4.4000000000000004</v>
      </c>
      <c r="C25" s="21" t="s">
        <v>47</v>
      </c>
      <c r="D25" s="1">
        <v>4</v>
      </c>
      <c r="E25" s="21" t="s">
        <v>26</v>
      </c>
      <c r="F25" s="21" t="s">
        <v>37</v>
      </c>
      <c r="G25" s="1">
        <v>5</v>
      </c>
      <c r="H25" s="1">
        <f t="shared" si="1"/>
        <v>5</v>
      </c>
      <c r="I25" s="1">
        <v>4</v>
      </c>
      <c r="J25" s="1">
        <v>3</v>
      </c>
      <c r="K25" s="1">
        <v>3</v>
      </c>
      <c r="L25" s="1">
        <v>2</v>
      </c>
      <c r="M25" s="1">
        <v>1</v>
      </c>
      <c r="N25" s="1">
        <v>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">
      <c r="B26" s="21">
        <v>5.0999999999999996</v>
      </c>
      <c r="C26" s="21" t="s">
        <v>48</v>
      </c>
      <c r="D26" s="1">
        <v>5</v>
      </c>
      <c r="E26" s="21" t="s">
        <v>30</v>
      </c>
      <c r="F26" s="21" t="s">
        <v>37</v>
      </c>
      <c r="G26" s="1">
        <v>5</v>
      </c>
      <c r="H26" s="1">
        <f t="shared" si="1"/>
        <v>5</v>
      </c>
      <c r="I26" s="1">
        <v>4</v>
      </c>
      <c r="J26" s="1">
        <v>3</v>
      </c>
      <c r="K26" s="1">
        <v>2</v>
      </c>
      <c r="L26" s="1">
        <v>1</v>
      </c>
      <c r="M26" s="1">
        <v>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6">IF(OR(AE$21="",$G26=""),"",AD26)</f>
        <v/>
      </c>
      <c r="AF26" s="1" t="str">
        <f t="shared" si="6"/>
        <v/>
      </c>
    </row>
    <row r="27" spans="2:32" ht="12.75" customHeight="1" x14ac:dyDescent="0.2">
      <c r="B27" s="21">
        <v>5.2</v>
      </c>
      <c r="C27" s="21" t="s">
        <v>49</v>
      </c>
      <c r="D27" s="1">
        <v>5</v>
      </c>
      <c r="E27" s="21" t="s">
        <v>30</v>
      </c>
      <c r="F27" s="21" t="s">
        <v>37</v>
      </c>
      <c r="G27" s="1">
        <v>6</v>
      </c>
      <c r="H27" s="1">
        <f t="shared" si="1"/>
        <v>6</v>
      </c>
      <c r="I27" s="1">
        <v>5</v>
      </c>
      <c r="J27" s="1">
        <v>4</v>
      </c>
      <c r="K27" s="1">
        <v>3</v>
      </c>
      <c r="L27" s="1">
        <v>2</v>
      </c>
      <c r="M27" s="1">
        <v>1</v>
      </c>
      <c r="N27" s="1">
        <v>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7">IF(OR(AE$21="",$G27=""),"",AD27)</f>
        <v/>
      </c>
      <c r="AF27" s="1" t="str">
        <f t="shared" si="7"/>
        <v/>
      </c>
    </row>
    <row r="28" spans="2:32" ht="12.75" customHeight="1" x14ac:dyDescent="0.2">
      <c r="B28" s="21">
        <v>5.3</v>
      </c>
      <c r="C28" s="21" t="s">
        <v>50</v>
      </c>
      <c r="D28" s="1">
        <v>5</v>
      </c>
      <c r="E28" s="21" t="s">
        <v>30</v>
      </c>
      <c r="F28" s="21" t="s">
        <v>37</v>
      </c>
      <c r="G28" s="1">
        <v>5</v>
      </c>
      <c r="H28" s="1">
        <f t="shared" si="1"/>
        <v>5</v>
      </c>
      <c r="I28" s="1">
        <v>5</v>
      </c>
      <c r="J28" s="1">
        <v>4</v>
      </c>
      <c r="K28" s="1">
        <v>3</v>
      </c>
      <c r="L28" s="1">
        <v>2</v>
      </c>
      <c r="M28" s="1">
        <v>1</v>
      </c>
      <c r="N28" s="1">
        <v>0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8">IF(OR(AE$21="",$G28=""),"",AD28)</f>
        <v/>
      </c>
      <c r="AF28" s="1" t="str">
        <f t="shared" si="8"/>
        <v/>
      </c>
    </row>
    <row r="29" spans="2:32" ht="12.75" customHeight="1" x14ac:dyDescent="0.2">
      <c r="B29" s="21">
        <v>5.4</v>
      </c>
      <c r="C29" s="21" t="s">
        <v>51</v>
      </c>
      <c r="D29" s="1">
        <v>5</v>
      </c>
      <c r="E29" s="21" t="s">
        <v>30</v>
      </c>
      <c r="F29" s="21" t="s">
        <v>37</v>
      </c>
      <c r="G29" s="1">
        <v>6</v>
      </c>
      <c r="H29" s="1">
        <f t="shared" si="1"/>
        <v>6</v>
      </c>
      <c r="I29" s="1">
        <v>5</v>
      </c>
      <c r="J29" s="1">
        <v>4</v>
      </c>
      <c r="K29" s="1">
        <v>3</v>
      </c>
      <c r="L29" s="1">
        <v>2</v>
      </c>
      <c r="M29" s="1">
        <v>1</v>
      </c>
      <c r="N29" s="1">
        <v>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9">IF(OR(AE$21="",$G29=""),"",AD29)</f>
        <v/>
      </c>
      <c r="AF29" s="1" t="str">
        <f t="shared" si="9"/>
        <v/>
      </c>
    </row>
    <row r="30" spans="2:32" ht="12.75" customHeight="1" x14ac:dyDescent="0.2">
      <c r="B30" s="21">
        <v>6.1</v>
      </c>
      <c r="C30" s="21" t="s">
        <v>52</v>
      </c>
      <c r="D30" s="1">
        <v>6</v>
      </c>
      <c r="E30" s="21" t="s">
        <v>36</v>
      </c>
      <c r="F30" s="21" t="s">
        <v>37</v>
      </c>
      <c r="G30" s="1">
        <v>6</v>
      </c>
      <c r="H30" s="1">
        <f t="shared" si="1"/>
        <v>6</v>
      </c>
      <c r="I30" s="1">
        <v>5</v>
      </c>
      <c r="J30" s="1">
        <v>4</v>
      </c>
      <c r="K30" s="1">
        <v>3</v>
      </c>
      <c r="L30" s="1">
        <v>2</v>
      </c>
      <c r="M30" s="1">
        <v>1</v>
      </c>
      <c r="N30" s="1">
        <v>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0">IF(OR(AE$21="",$G30=""),"",AD30)</f>
        <v/>
      </c>
      <c r="AF30" s="1" t="str">
        <f t="shared" si="10"/>
        <v/>
      </c>
    </row>
    <row r="31" spans="2:32" ht="12.75" customHeight="1" x14ac:dyDescent="0.2">
      <c r="B31" s="21">
        <v>6.2</v>
      </c>
      <c r="C31" s="21" t="s">
        <v>53</v>
      </c>
      <c r="D31" s="1">
        <v>6</v>
      </c>
      <c r="E31" s="21" t="s">
        <v>36</v>
      </c>
      <c r="F31" s="21" t="s">
        <v>37</v>
      </c>
      <c r="G31" s="1">
        <v>5</v>
      </c>
      <c r="H31" s="1">
        <f t="shared" si="1"/>
        <v>5</v>
      </c>
      <c r="I31" s="1">
        <v>4</v>
      </c>
      <c r="J31" s="1">
        <v>3</v>
      </c>
      <c r="K31" s="1">
        <v>2</v>
      </c>
      <c r="L31" s="1">
        <v>1</v>
      </c>
      <c r="M31" s="1">
        <v>0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1">IF(OR(AE$21="",$G31=""),"",AD31)</f>
        <v/>
      </c>
      <c r="AF31" s="1" t="str">
        <f t="shared" si="11"/>
        <v/>
      </c>
    </row>
    <row r="32" spans="2:32" ht="12.75" customHeight="1" x14ac:dyDescent="0.2">
      <c r="B32" s="21">
        <v>6.3</v>
      </c>
      <c r="C32" s="21" t="s">
        <v>54</v>
      </c>
      <c r="D32" s="1">
        <v>6</v>
      </c>
      <c r="E32" s="21" t="s">
        <v>36</v>
      </c>
      <c r="F32" s="21" t="s">
        <v>37</v>
      </c>
      <c r="G32" s="1">
        <v>5</v>
      </c>
      <c r="H32" s="1">
        <f t="shared" si="1"/>
        <v>5</v>
      </c>
      <c r="I32" s="1">
        <v>4</v>
      </c>
      <c r="J32" s="1">
        <v>3</v>
      </c>
      <c r="K32" s="1">
        <v>3</v>
      </c>
      <c r="L32" s="1">
        <v>2</v>
      </c>
      <c r="M32" s="1">
        <v>1</v>
      </c>
      <c r="N32" s="1">
        <v>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2">IF(OR(AE$21="",$G32=""),"",AD32)</f>
        <v/>
      </c>
      <c r="AF32" s="1" t="str">
        <f t="shared" si="12"/>
        <v/>
      </c>
    </row>
    <row r="33" spans="2:32" ht="12.75" customHeight="1" x14ac:dyDescent="0.2">
      <c r="B33" s="21">
        <v>6.4</v>
      </c>
      <c r="C33" s="21" t="s">
        <v>55</v>
      </c>
      <c r="D33" s="1">
        <v>6</v>
      </c>
      <c r="E33" s="21" t="s">
        <v>36</v>
      </c>
      <c r="F33" s="21" t="s">
        <v>37</v>
      </c>
      <c r="G33" s="1">
        <v>5</v>
      </c>
      <c r="H33" s="1">
        <f t="shared" si="1"/>
        <v>5</v>
      </c>
      <c r="I33" s="1">
        <v>5</v>
      </c>
      <c r="J33" s="1">
        <v>4</v>
      </c>
      <c r="K33" s="1">
        <v>3</v>
      </c>
      <c r="L33" s="1">
        <v>2</v>
      </c>
      <c r="M33" s="1">
        <v>1</v>
      </c>
      <c r="N33" s="1">
        <v>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3">IF(OR(AE$21="",$G33=""),"",AD33)</f>
        <v/>
      </c>
      <c r="AF33" s="1" t="str">
        <f t="shared" si="13"/>
        <v/>
      </c>
    </row>
    <row r="34" spans="2:32" ht="12.75" customHeight="1" x14ac:dyDescent="0.2">
      <c r="B34" s="21">
        <v>7.1</v>
      </c>
      <c r="C34" s="21" t="s">
        <v>56</v>
      </c>
      <c r="D34" s="1">
        <v>7</v>
      </c>
      <c r="E34" s="21" t="s">
        <v>59</v>
      </c>
      <c r="F34" s="21" t="s">
        <v>37</v>
      </c>
      <c r="G34" s="1">
        <v>6</v>
      </c>
      <c r="H34" s="1">
        <f t="shared" si="1"/>
        <v>6</v>
      </c>
      <c r="I34" s="1">
        <v>5</v>
      </c>
      <c r="J34" s="1">
        <v>4</v>
      </c>
      <c r="K34" s="1">
        <v>3</v>
      </c>
      <c r="L34" s="1">
        <v>2</v>
      </c>
      <c r="M34" s="1">
        <v>1</v>
      </c>
      <c r="N34" s="1">
        <v>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4">IF(OR(AE$21="",$G34=""),"",AD34)</f>
        <v/>
      </c>
      <c r="AF34" s="1" t="str">
        <f t="shared" si="14"/>
        <v/>
      </c>
    </row>
    <row r="35" spans="2:32" ht="12.75" customHeight="1" x14ac:dyDescent="0.2">
      <c r="B35" s="21">
        <v>7.2</v>
      </c>
      <c r="C35" s="21" t="s">
        <v>57</v>
      </c>
      <c r="D35" s="1">
        <v>7</v>
      </c>
      <c r="E35" s="21" t="s">
        <v>59</v>
      </c>
      <c r="F35" s="21" t="s">
        <v>37</v>
      </c>
      <c r="G35" s="1">
        <v>5</v>
      </c>
      <c r="H35" s="1">
        <f t="shared" si="1"/>
        <v>5</v>
      </c>
      <c r="I35" s="1">
        <v>4</v>
      </c>
      <c r="J35" s="1">
        <v>3</v>
      </c>
      <c r="K35" s="1">
        <v>2</v>
      </c>
      <c r="L35" s="1">
        <v>1</v>
      </c>
      <c r="M35" s="1">
        <v>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5">IF(OR(AE$21="",$G35=""),"",AD35)</f>
        <v/>
      </c>
      <c r="AF35" s="1" t="str">
        <f t="shared" si="15"/>
        <v/>
      </c>
    </row>
    <row r="36" spans="2:32" ht="12.75" customHeight="1" x14ac:dyDescent="0.2">
      <c r="B36" s="21">
        <v>7.3</v>
      </c>
      <c r="C36" s="21" t="s">
        <v>58</v>
      </c>
      <c r="D36" s="1">
        <v>7</v>
      </c>
      <c r="E36" s="21" t="s">
        <v>59</v>
      </c>
      <c r="F36" s="21" t="s">
        <v>37</v>
      </c>
      <c r="G36" s="1">
        <v>5</v>
      </c>
      <c r="H36" s="1">
        <f t="shared" si="1"/>
        <v>5</v>
      </c>
      <c r="I36" s="1">
        <v>5</v>
      </c>
      <c r="J36" s="1">
        <v>4</v>
      </c>
      <c r="K36" s="1">
        <v>3</v>
      </c>
      <c r="L36" s="1">
        <v>2</v>
      </c>
      <c r="M36" s="1">
        <v>1</v>
      </c>
      <c r="N36" s="1">
        <v>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6">IF(OR(AE$21="",$G36=""),"",AD36)</f>
        <v/>
      </c>
      <c r="AF36" s="1" t="str">
        <f t="shared" si="16"/>
        <v/>
      </c>
    </row>
    <row r="37" spans="2:32" ht="12.75" customHeight="1" x14ac:dyDescent="0.2">
      <c r="D37" s="1"/>
      <c r="F37" s="21" t="str">
        <f t="shared" ref="F26:F63" si="17">IF(C37&lt;&gt;"","Planned","")</f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2:32" ht="12.75" customHeight="1" x14ac:dyDescent="0.2">
      <c r="D38" s="1"/>
      <c r="F38" s="21" t="str">
        <f t="shared" si="17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2:32" ht="12.75" customHeight="1" x14ac:dyDescent="0.2">
      <c r="D39" s="1"/>
      <c r="F39" s="21" t="str">
        <f t="shared" si="17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2:32" ht="12.75" customHeight="1" x14ac:dyDescent="0.2">
      <c r="D40" s="1"/>
      <c r="F40" s="21" t="str">
        <f t="shared" si="17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2:32" ht="12.75" customHeight="1" x14ac:dyDescent="0.2">
      <c r="D41" s="1"/>
      <c r="F41" s="21" t="str">
        <f t="shared" si="17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2:32" ht="12.75" customHeight="1" x14ac:dyDescent="0.2">
      <c r="D42" s="1"/>
      <c r="F42" s="21" t="str">
        <f t="shared" si="17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2:32" ht="12.75" customHeight="1" x14ac:dyDescent="0.2">
      <c r="D43" s="1"/>
      <c r="F43" s="21" t="str">
        <f t="shared" si="17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2:32" ht="12.75" customHeight="1" x14ac:dyDescent="0.2">
      <c r="D44" s="1"/>
      <c r="F44" s="21" t="str">
        <f t="shared" si="17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2:32" ht="12.75" customHeight="1" x14ac:dyDescent="0.2">
      <c r="D45" s="1"/>
      <c r="F45" s="21" t="str">
        <f t="shared" si="17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2:32" ht="12.75" customHeight="1" x14ac:dyDescent="0.2">
      <c r="D46" s="1"/>
      <c r="F46" s="21" t="str">
        <f t="shared" si="17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2:32" ht="12.75" customHeight="1" x14ac:dyDescent="0.2">
      <c r="D47" s="1"/>
      <c r="F47" s="21" t="str">
        <f t="shared" si="17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2:32" ht="12.75" customHeight="1" x14ac:dyDescent="0.2">
      <c r="D48" s="1"/>
      <c r="F48" s="21" t="str">
        <f t="shared" si="17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7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7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7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7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7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7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7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7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7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7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7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7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7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7"/>
        <v/>
      </c>
      <c r="G62" s="1"/>
      <c r="H62" s="1" t="str">
        <f t="shared" si="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7"/>
        <v/>
      </c>
      <c r="G63" s="1"/>
      <c r="H63" s="1" t="str">
        <f t="shared" si="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3" priority="3" stopIfTrue="1">
      <formula>$F22="Terminado"</formula>
    </cfRule>
    <cfRule type="expression" dxfId="2" priority="4" stopIfTrue="1">
      <formula>$F22="En Progreso"</formula>
    </cfRule>
  </conditionalFormatting>
  <conditionalFormatting sqref="L22:AF25 C26:AF65">
    <cfRule type="expression" dxfId="1" priority="1" stopIfTrue="1">
      <formula>$F22="Done"</formula>
    </cfRule>
    <cfRule type="expression" dxfId="0" priority="2" stopIfTrue="1">
      <formula>$F22="Ongoing"</formula>
    </cfRule>
  </conditionalFormatting>
  <dataValidations count="1">
    <dataValidation type="list" allowBlank="1" sqref="F10:F15 F22:F71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1000"/>
  <sheetViews>
    <sheetView workbookViewId="0">
      <selection activeCell="H22" sqref="H22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38.285156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1:33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25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">
      <c r="B16" s="22"/>
      <c r="C16" s="22" t="s">
        <v>6</v>
      </c>
      <c r="D16" s="1"/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/>
      <c r="E17" s="22" t="s">
        <v>10</v>
      </c>
      <c r="F17" s="22" t="s">
        <v>11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</v>
      </c>
      <c r="E18" s="21" t="s">
        <v>13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0" priority="3" stopIfTrue="1">
      <formula>$F22="Terminado"</formula>
    </cfRule>
    <cfRule type="expression" dxfId="9" priority="4" stopIfTrue="1">
      <formula>$F22="En Progreso"</formula>
    </cfRule>
  </conditionalFormatting>
  <conditionalFormatting sqref="L22:AF25 C26:AF65">
    <cfRule type="expression" dxfId="8" priority="1" stopIfTrue="1">
      <formula>$F22="Done"</formula>
    </cfRule>
    <cfRule type="expression" dxfId="7" priority="2" stopIfTrue="1">
      <formula>$F22="Ongoing"</formula>
    </cfRule>
  </conditionalFormatting>
  <dataValidations count="1">
    <dataValidation type="list" allowBlank="1" sqref="F10:F15 F22:F71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USER</cp:lastModifiedBy>
  <dcterms:created xsi:type="dcterms:W3CDTF">1998-06-05T11:20:44Z</dcterms:created>
  <dcterms:modified xsi:type="dcterms:W3CDTF">2026-04-21T01:43:08Z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