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  <Override PartName="/xl/commentsmeta0" ContentType="application/binary"/>
  <Override PartName="/xl/commentsmeta1" ContentType="application/binary"/>
  <Override PartName="/xl/commentsmeta2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/>
  <mc:AlternateContent xmlns:mc="http://schemas.openxmlformats.org/markup-compatibility/2006">
    <mc:Choice Requires="x15">
      <x15ac:absPath xmlns:x15ac="http://schemas.microsoft.com/office/spreadsheetml/2010/11/ac" url="E:\Periodo Final 2026-10\Taller de Proyectos 2\semana 1\Planner\Taller_Proyectos_2\docs\Planificación\"/>
    </mc:Choice>
  </mc:AlternateContent>
  <xr:revisionPtr revIDLastSave="0" documentId="13_ncr:1_{A17DEDCD-8BFE-4A5F-8A63-06BF4CBD982C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Sprint 1" sheetId="1" r:id="rId1"/>
    <sheet name="Sprint 2" sheetId="2" r:id="rId2"/>
    <sheet name="Plantilla Sprint" sheetId="3" r:id="rId3"/>
  </sheets>
  <definedNames>
    <definedName name="AverageSpeedLastEight">OFFSET(#REF!,1,0,#REF!,1)</definedName>
    <definedName name="AverageSpeedRealized">OFFSET(#REF!,1,0,#REF!,1)</definedName>
    <definedName name="AverageSpeedWorstThree">OFFSET(#REF!,1,0,#REF!,1)</definedName>
    <definedName name="ColBottomCurrentScope">OFFSET(#REF!,1,0,#REF!,1)</definedName>
    <definedName name="ColTopRemainingWork">OFFSET(#REF!,1,0,#REF!,1)</definedName>
    <definedName name="DoneDays" localSheetId="2">'Plantilla Sprint'!$F$18</definedName>
    <definedName name="DoneDays" localSheetId="0">'Sprint 1'!$F$18</definedName>
    <definedName name="DoneDays" localSheetId="1">'Sprint 2'!$F$18</definedName>
    <definedName name="DoneDays">#REF!</definedName>
    <definedName name="ImplementationDays" localSheetId="2">'Plantilla Sprint'!$D$16</definedName>
    <definedName name="ImplementationDays" localSheetId="0">'Sprint 1'!$D$16</definedName>
    <definedName name="ImplementationDays" localSheetId="1">'Sprint 2'!$D$16</definedName>
    <definedName name="ImplementationDays">#REF!</definedName>
    <definedName name="LastEight">IF(#REF!&gt;8,OFFSET(#REF!,#REF!-7,0,8,1),OFFSET(#REF!,1,0,#REF!-1,1))</definedName>
    <definedName name="LastPlanned">IF(OFFSET(#REF!,1,0,1,1)="",1,OFFSET(#REF!,#REF!,0,1,1))</definedName>
    <definedName name="LastRealized">IF(OFFSET(#REF!,1,0,1,1)="",1,OFFSET(#REF!,#REF!,0,1,1))</definedName>
    <definedName name="PBCurrentBottom">OFFSET(#REF!,1,0,#REF!,1)</definedName>
    <definedName name="PBTrend">OFFSET(#REF!,1,0,#REF!,1)</definedName>
    <definedName name="PlannedSpeed">OFFSET(#REF!,1,0,#REF!,1)</definedName>
    <definedName name="ProductBacklog">#REF!</definedName>
    <definedName name="RealizedSpeed">OFFSET(#REF!,1,0,#REF!,1)</definedName>
    <definedName name="RealValues" localSheetId="2">OFFSET('Plantilla Sprint'!$H$17,0,0,1,[0]!DoneDays)</definedName>
    <definedName name="RealValues" localSheetId="0">OFFSET('Sprint 1'!$H$17,0,0,1,[0]!DoneDays)</definedName>
    <definedName name="RealValues" localSheetId="1">OFFSET('Sprint 2'!$H$17,0,0,1,'Sprint 2'!DoneDays)</definedName>
    <definedName name="Sprint">#REF!</definedName>
    <definedName name="SprintCount">#REF!</definedName>
    <definedName name="SprintsInTrend">#REF!</definedName>
    <definedName name="SprintTasks" localSheetId="2">'Plantilla Sprint'!$C$21:$AF$70</definedName>
    <definedName name="SprintTasks" localSheetId="0">'Sprint 1'!$C$21:$AF$70</definedName>
    <definedName name="SprintTasks" localSheetId="1">'Sprint 2'!$C$21:$AF$70</definedName>
    <definedName name="SprintTasks">#REF!</definedName>
    <definedName name="Status">#REF!</definedName>
    <definedName name="StoryName">#REF!</definedName>
    <definedName name="TaskRows" localSheetId="2">'Plantilla Sprint'!$D$18</definedName>
    <definedName name="TaskRows" localSheetId="0">'Sprint 1'!$D$18</definedName>
    <definedName name="TaskRows" localSheetId="1">'Sprint 2'!$D$18</definedName>
    <definedName name="TaskRows">#REF!</definedName>
    <definedName name="TaskStatus" localSheetId="2">'Plantilla Sprint'!$F$21:$F$65</definedName>
    <definedName name="TaskStatus" localSheetId="0">'Sprint 1'!$F$21:$F$65</definedName>
    <definedName name="TaskStatus" localSheetId="1">'Sprint 2'!$F$21:$F$65</definedName>
    <definedName name="TaskStatus">#REF!</definedName>
    <definedName name="TaskStoryID" localSheetId="2">'Plantilla Sprint'!$D$21:$D$60</definedName>
    <definedName name="TaskStoryID" localSheetId="0">'Sprint 1'!$D$21:$D$60</definedName>
    <definedName name="TaskStoryID" localSheetId="1">'Sprint 2'!$D$21:$D$60</definedName>
    <definedName name="TaskStoryID">#REF!</definedName>
    <definedName name="TotalEffort" localSheetId="2">'Plantilla Sprint'!$G$17</definedName>
    <definedName name="TotalEffort" localSheetId="0">'Sprint 1'!$G$17</definedName>
    <definedName name="TotalEffort" localSheetId="1">'Sprint 2'!$G$17</definedName>
    <definedName name="TotalEffort">#REF!</definedName>
    <definedName name="TrendDays" localSheetId="2">'Plantilla Sprint'!$F$20</definedName>
    <definedName name="TrendDays" localSheetId="0">'Sprint 1'!$F$20</definedName>
    <definedName name="TrendDays" localSheetId="1">'Sprint 2'!$F$20</definedName>
    <definedName name="TrendDays">#REF!</definedName>
    <definedName name="TrendOffset">#REF!</definedName>
    <definedName name="TrendSprintCount">#REF!</definedName>
  </definedNames>
  <calcPr calcId="191029"/>
  <extLst>
    <ext uri="GoogleSheetsCustomDataVersion2">
      <go:sheetsCustomData xmlns:go="http://customooxmlschemas.google.com/" r:id="rId7" roundtripDataChecksum="HHOBz0rsvCObczqlO+Cxln6exkhCyGcbbMP0Ba/RVG4="/>
    </ext>
  </extLst>
</workbook>
</file>

<file path=xl/calcChain.xml><?xml version="1.0" encoding="utf-8"?>
<calcChain xmlns="http://schemas.openxmlformats.org/spreadsheetml/2006/main">
  <c r="H37" i="2" l="1"/>
  <c r="F71" i="3" l="1"/>
  <c r="H66" i="3"/>
  <c r="H65" i="3"/>
  <c r="H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K21" i="3"/>
  <c r="J21" i="3"/>
  <c r="J62" i="3" s="1"/>
  <c r="I21" i="3"/>
  <c r="I63" i="3" s="1"/>
  <c r="I18" i="3"/>
  <c r="D18" i="3"/>
  <c r="AC17" i="3" s="1"/>
  <c r="F71" i="2"/>
  <c r="H66" i="2"/>
  <c r="H65" i="2"/>
  <c r="H64" i="2"/>
  <c r="H63" i="2"/>
  <c r="F63" i="2"/>
  <c r="H62" i="2"/>
  <c r="F62" i="2"/>
  <c r="H61" i="2"/>
  <c r="F61" i="2"/>
  <c r="H60" i="2"/>
  <c r="F60" i="2"/>
  <c r="H59" i="2"/>
  <c r="F59" i="2"/>
  <c r="H58" i="2"/>
  <c r="F58" i="2"/>
  <c r="H57" i="2"/>
  <c r="F57" i="2"/>
  <c r="H56" i="2"/>
  <c r="F56" i="2"/>
  <c r="H55" i="2"/>
  <c r="F55" i="2"/>
  <c r="H54" i="2"/>
  <c r="F54" i="2"/>
  <c r="H53" i="2"/>
  <c r="F53" i="2"/>
  <c r="H52" i="2"/>
  <c r="F52" i="2"/>
  <c r="H51" i="2"/>
  <c r="F51" i="2"/>
  <c r="H50" i="2"/>
  <c r="F50" i="2"/>
  <c r="H49" i="2"/>
  <c r="F49" i="2"/>
  <c r="H48" i="2"/>
  <c r="F48" i="2"/>
  <c r="H47" i="2"/>
  <c r="F47" i="2"/>
  <c r="H46" i="2"/>
  <c r="F46" i="2"/>
  <c r="H45" i="2"/>
  <c r="F45" i="2"/>
  <c r="H44" i="2"/>
  <c r="F44" i="2"/>
  <c r="H43" i="2"/>
  <c r="F43" i="2"/>
  <c r="H42" i="2"/>
  <c r="F42" i="2"/>
  <c r="H41" i="2"/>
  <c r="F41" i="2"/>
  <c r="H40" i="2"/>
  <c r="F40" i="2"/>
  <c r="H39" i="2"/>
  <c r="F39" i="2"/>
  <c r="H38" i="2"/>
  <c r="F38" i="2"/>
  <c r="F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I21" i="2"/>
  <c r="D18" i="2"/>
  <c r="AB17" i="2" s="1"/>
  <c r="F71" i="1"/>
  <c r="H66" i="1"/>
  <c r="H65" i="1"/>
  <c r="H64" i="1"/>
  <c r="H63" i="1"/>
  <c r="F63" i="1"/>
  <c r="H62" i="1"/>
  <c r="F62" i="1"/>
  <c r="H61" i="1"/>
  <c r="F61" i="1"/>
  <c r="H60" i="1"/>
  <c r="F60" i="1"/>
  <c r="H59" i="1"/>
  <c r="F59" i="1"/>
  <c r="H58" i="1"/>
  <c r="F58" i="1"/>
  <c r="H57" i="1"/>
  <c r="F57" i="1"/>
  <c r="H56" i="1"/>
  <c r="F56" i="1"/>
  <c r="H55" i="1"/>
  <c r="F55" i="1"/>
  <c r="H54" i="1"/>
  <c r="F54" i="1"/>
  <c r="H53" i="1"/>
  <c r="F53" i="1"/>
  <c r="H52" i="1"/>
  <c r="F52" i="1"/>
  <c r="H51" i="1"/>
  <c r="F51" i="1"/>
  <c r="H50" i="1"/>
  <c r="F50" i="1"/>
  <c r="H49" i="1"/>
  <c r="F49" i="1"/>
  <c r="H48" i="1"/>
  <c r="F48" i="1"/>
  <c r="H47" i="1"/>
  <c r="F47" i="1"/>
  <c r="H46" i="1"/>
  <c r="F46" i="1"/>
  <c r="H45" i="1"/>
  <c r="F45" i="1"/>
  <c r="H44" i="1"/>
  <c r="F44" i="1"/>
  <c r="H43" i="1"/>
  <c r="F43" i="1"/>
  <c r="H42" i="1"/>
  <c r="F42" i="1"/>
  <c r="H41" i="1"/>
  <c r="F41" i="1"/>
  <c r="H40" i="1"/>
  <c r="F40" i="1"/>
  <c r="H39" i="1"/>
  <c r="F39" i="1"/>
  <c r="H38" i="1"/>
  <c r="F38" i="1"/>
  <c r="H37" i="1"/>
  <c r="F37" i="1"/>
  <c r="H36" i="1"/>
  <c r="F36" i="1"/>
  <c r="H35" i="1"/>
  <c r="F35" i="1"/>
  <c r="H34" i="1"/>
  <c r="F34" i="1"/>
  <c r="H33" i="1"/>
  <c r="F33" i="1"/>
  <c r="H32" i="1"/>
  <c r="F32" i="1"/>
  <c r="H31" i="1"/>
  <c r="F31" i="1"/>
  <c r="I21" i="1"/>
  <c r="I62" i="1" s="1"/>
  <c r="D18" i="1"/>
  <c r="AC17" i="1" s="1"/>
  <c r="AD17" i="3" l="1"/>
  <c r="Y17" i="1"/>
  <c r="G17" i="3"/>
  <c r="H18" i="3" s="1"/>
  <c r="Q17" i="1"/>
  <c r="I17" i="3"/>
  <c r="J18" i="3"/>
  <c r="J17" i="3"/>
  <c r="M17" i="3"/>
  <c r="Q17" i="3"/>
  <c r="N17" i="1"/>
  <c r="R17" i="3"/>
  <c r="J63" i="3"/>
  <c r="O17" i="1"/>
  <c r="S17" i="3"/>
  <c r="P17" i="1"/>
  <c r="U17" i="3"/>
  <c r="V17" i="3"/>
  <c r="Y17" i="3"/>
  <c r="G17" i="2"/>
  <c r="H18" i="2" s="1"/>
  <c r="V17" i="2"/>
  <c r="H17" i="2"/>
  <c r="Z17" i="2"/>
  <c r="N17" i="2"/>
  <c r="AA17" i="2"/>
  <c r="O17" i="2"/>
  <c r="J21" i="1"/>
  <c r="J62" i="1" s="1"/>
  <c r="U17" i="1"/>
  <c r="I63" i="2"/>
  <c r="I62" i="2"/>
  <c r="J21" i="2"/>
  <c r="V17" i="1"/>
  <c r="W17" i="1"/>
  <c r="I63" i="1"/>
  <c r="Y17" i="2"/>
  <c r="M17" i="2"/>
  <c r="X17" i="2"/>
  <c r="L17" i="2"/>
  <c r="W17" i="2"/>
  <c r="K17" i="2"/>
  <c r="AD17" i="2"/>
  <c r="R17" i="2"/>
  <c r="AC17" i="2"/>
  <c r="Q17" i="2"/>
  <c r="I17" i="1"/>
  <c r="Z17" i="1"/>
  <c r="P17" i="2"/>
  <c r="J17" i="1"/>
  <c r="AA17" i="1"/>
  <c r="S17" i="2"/>
  <c r="K17" i="1"/>
  <c r="AB17" i="1"/>
  <c r="T17" i="2"/>
  <c r="M17" i="1"/>
  <c r="U17" i="2"/>
  <c r="T17" i="1"/>
  <c r="H17" i="1"/>
  <c r="G17" i="1"/>
  <c r="S17" i="1"/>
  <c r="AD17" i="1"/>
  <c r="R17" i="1"/>
  <c r="X17" i="1"/>
  <c r="L17" i="1"/>
  <c r="L21" i="3"/>
  <c r="K63" i="3"/>
  <c r="K18" i="3"/>
  <c r="K62" i="3"/>
  <c r="H17" i="3"/>
  <c r="T17" i="3"/>
  <c r="I62" i="3"/>
  <c r="K17" i="3"/>
  <c r="W17" i="3"/>
  <c r="L17" i="3"/>
  <c r="X17" i="3"/>
  <c r="N17" i="3"/>
  <c r="Z17" i="3"/>
  <c r="O17" i="3"/>
  <c r="AA17" i="3"/>
  <c r="P17" i="3"/>
  <c r="AB17" i="3"/>
  <c r="J63" i="1" l="1"/>
  <c r="I18" i="2"/>
  <c r="K21" i="1"/>
  <c r="K62" i="1" s="1"/>
  <c r="J18" i="2"/>
  <c r="J63" i="2"/>
  <c r="K21" i="2"/>
  <c r="J62" i="2"/>
  <c r="J18" i="1"/>
  <c r="H18" i="1"/>
  <c r="L63" i="3"/>
  <c r="L18" i="3"/>
  <c r="L62" i="3"/>
  <c r="M21" i="3"/>
  <c r="I18" i="1"/>
  <c r="L21" i="1" l="1"/>
  <c r="K63" i="1"/>
  <c r="K18" i="1"/>
  <c r="M63" i="3"/>
  <c r="M18" i="3"/>
  <c r="M62" i="3"/>
  <c r="N21" i="3"/>
  <c r="M21" i="1"/>
  <c r="L62" i="1"/>
  <c r="L63" i="1"/>
  <c r="L18" i="1"/>
  <c r="K62" i="2"/>
  <c r="K18" i="2"/>
  <c r="L21" i="2"/>
  <c r="K63" i="2"/>
  <c r="L63" i="2" l="1"/>
  <c r="L62" i="2"/>
  <c r="L18" i="2"/>
  <c r="M21" i="2"/>
  <c r="M62" i="1"/>
  <c r="M63" i="1"/>
  <c r="N21" i="1"/>
  <c r="M18" i="1"/>
  <c r="N63" i="3"/>
  <c r="N18" i="3"/>
  <c r="N62" i="3"/>
  <c r="O21" i="3"/>
  <c r="O62" i="3" l="1"/>
  <c r="P21" i="3"/>
  <c r="O63" i="3"/>
  <c r="O18" i="3"/>
  <c r="O21" i="1"/>
  <c r="N63" i="1"/>
  <c r="N18" i="1"/>
  <c r="N62" i="1"/>
  <c r="M63" i="2"/>
  <c r="M18" i="2"/>
  <c r="N21" i="2"/>
  <c r="M62" i="2"/>
  <c r="O18" i="1" l="1"/>
  <c r="O63" i="1"/>
  <c r="P21" i="1"/>
  <c r="O62" i="1"/>
  <c r="N63" i="2"/>
  <c r="N62" i="2"/>
  <c r="N18" i="2"/>
  <c r="O21" i="2"/>
  <c r="P63" i="3"/>
  <c r="P18" i="3"/>
  <c r="P62" i="3"/>
  <c r="Q21" i="3"/>
  <c r="R21" i="3" l="1"/>
  <c r="Q63" i="3"/>
  <c r="Q18" i="3"/>
  <c r="Q62" i="3"/>
  <c r="O63" i="2"/>
  <c r="O62" i="2"/>
  <c r="P21" i="2"/>
  <c r="O18" i="2"/>
  <c r="P18" i="1"/>
  <c r="P63" i="1"/>
  <c r="Q21" i="1"/>
  <c r="P62" i="1"/>
  <c r="Q18" i="1" l="1"/>
  <c r="Q62" i="1"/>
  <c r="R21" i="1"/>
  <c r="Q63" i="1"/>
  <c r="P62" i="2"/>
  <c r="Q21" i="2"/>
  <c r="P18" i="2"/>
  <c r="P63" i="2"/>
  <c r="R62" i="3"/>
  <c r="S21" i="3"/>
  <c r="R63" i="3"/>
  <c r="R18" i="3"/>
  <c r="Q63" i="2" l="1"/>
  <c r="Q62" i="2"/>
  <c r="R21" i="2"/>
  <c r="Q18" i="2"/>
  <c r="T21" i="3"/>
  <c r="S63" i="3"/>
  <c r="S18" i="3"/>
  <c r="S62" i="3"/>
  <c r="R62" i="1"/>
  <c r="S21" i="1"/>
  <c r="R63" i="1"/>
  <c r="R18" i="1"/>
  <c r="S63" i="1" l="1"/>
  <c r="T21" i="1"/>
  <c r="S18" i="1"/>
  <c r="S62" i="1"/>
  <c r="R63" i="2"/>
  <c r="S21" i="2"/>
  <c r="R62" i="2"/>
  <c r="R18" i="2"/>
  <c r="U21" i="3"/>
  <c r="T63" i="3"/>
  <c r="T18" i="3"/>
  <c r="T62" i="3"/>
  <c r="S62" i="2" l="1"/>
  <c r="S63" i="2"/>
  <c r="T21" i="2"/>
  <c r="S18" i="2"/>
  <c r="V21" i="3"/>
  <c r="U63" i="3"/>
  <c r="U18" i="3"/>
  <c r="U62" i="3"/>
  <c r="T63" i="1"/>
  <c r="T18" i="1"/>
  <c r="T62" i="1"/>
  <c r="U21" i="1"/>
  <c r="U63" i="1" l="1"/>
  <c r="U18" i="1"/>
  <c r="U62" i="1"/>
  <c r="V21" i="1"/>
  <c r="T18" i="2"/>
  <c r="T62" i="2"/>
  <c r="U21" i="2"/>
  <c r="T63" i="2"/>
  <c r="V63" i="3"/>
  <c r="V62" i="3"/>
  <c r="V18" i="3"/>
  <c r="W21" i="3"/>
  <c r="X21" i="3" l="1"/>
  <c r="W63" i="3"/>
  <c r="W18" i="3"/>
  <c r="W62" i="3"/>
  <c r="U18" i="2"/>
  <c r="U63" i="2"/>
  <c r="U62" i="2"/>
  <c r="V21" i="2"/>
  <c r="V63" i="1"/>
  <c r="W21" i="1"/>
  <c r="V18" i="1"/>
  <c r="V62" i="1"/>
  <c r="W63" i="1" l="1"/>
  <c r="X21" i="1"/>
  <c r="W62" i="1"/>
  <c r="W18" i="1"/>
  <c r="V18" i="2"/>
  <c r="V63" i="2"/>
  <c r="W21" i="2"/>
  <c r="V62" i="2"/>
  <c r="X63" i="3"/>
  <c r="X18" i="3"/>
  <c r="X62" i="3"/>
  <c r="Y21" i="3"/>
  <c r="Y63" i="3" l="1"/>
  <c r="Y18" i="3"/>
  <c r="Y62" i="3"/>
  <c r="Z21" i="3"/>
  <c r="W62" i="2"/>
  <c r="X21" i="2"/>
  <c r="W18" i="2"/>
  <c r="W63" i="2"/>
  <c r="Y21" i="1"/>
  <c r="X62" i="1"/>
  <c r="X63" i="1"/>
  <c r="X18" i="1"/>
  <c r="Y62" i="1" l="1"/>
  <c r="Z21" i="1"/>
  <c r="Y63" i="1"/>
  <c r="Y18" i="1"/>
  <c r="X63" i="2"/>
  <c r="X62" i="2"/>
  <c r="Y21" i="2"/>
  <c r="X18" i="2"/>
  <c r="Z63" i="3"/>
  <c r="Z18" i="3"/>
  <c r="Z62" i="3"/>
  <c r="AA21" i="3"/>
  <c r="AA62" i="3" l="1"/>
  <c r="AB21" i="3"/>
  <c r="AA63" i="3"/>
  <c r="AA18" i="3"/>
  <c r="Z62" i="1"/>
  <c r="Z18" i="1"/>
  <c r="Z63" i="1"/>
  <c r="AA21" i="1"/>
  <c r="Y63" i="2"/>
  <c r="Y62" i="2"/>
  <c r="Y18" i="2"/>
  <c r="Z21" i="2"/>
  <c r="Z63" i="2" l="1"/>
  <c r="Z62" i="2"/>
  <c r="Z18" i="2"/>
  <c r="AA21" i="2"/>
  <c r="AA18" i="1"/>
  <c r="AA63" i="1"/>
  <c r="AA62" i="1"/>
  <c r="AB21" i="1"/>
  <c r="AB63" i="3"/>
  <c r="AB18" i="3"/>
  <c r="AB62" i="3"/>
  <c r="AC21" i="3"/>
  <c r="AB18" i="1" l="1"/>
  <c r="AB63" i="1"/>
  <c r="AC21" i="1"/>
  <c r="AB62" i="1"/>
  <c r="AD21" i="3"/>
  <c r="AC63" i="3"/>
  <c r="AC18" i="3"/>
  <c r="AC62" i="3"/>
  <c r="AA63" i="2"/>
  <c r="AA62" i="2"/>
  <c r="AB21" i="2"/>
  <c r="AA18" i="2"/>
  <c r="AB62" i="2" l="1"/>
  <c r="AC21" i="2"/>
  <c r="AB18" i="2"/>
  <c r="AB63" i="2"/>
  <c r="AD62" i="3"/>
  <c r="AE21" i="3"/>
  <c r="AD63" i="3"/>
  <c r="AD18" i="3"/>
  <c r="AC18" i="1"/>
  <c r="AC62" i="1"/>
  <c r="AD21" i="1"/>
  <c r="AC63" i="1"/>
  <c r="AD62" i="1" l="1"/>
  <c r="AE21" i="1"/>
  <c r="AD63" i="1"/>
  <c r="AD18" i="1"/>
  <c r="AC63" i="2"/>
  <c r="AC62" i="2"/>
  <c r="AD21" i="2"/>
  <c r="AC18" i="2"/>
  <c r="AE65" i="3"/>
  <c r="AF21" i="3"/>
  <c r="AE60" i="3"/>
  <c r="AE57" i="3"/>
  <c r="AE54" i="3"/>
  <c r="AE51" i="3"/>
  <c r="AE48" i="3"/>
  <c r="AE45" i="3"/>
  <c r="AE42" i="3"/>
  <c r="AE39" i="3"/>
  <c r="AE36" i="3"/>
  <c r="AE33" i="3"/>
  <c r="AE30" i="3"/>
  <c r="AE27" i="3"/>
  <c r="AE24" i="3"/>
  <c r="AE64" i="3"/>
  <c r="AE63" i="3"/>
  <c r="AE59" i="3"/>
  <c r="AE56" i="3"/>
  <c r="AE53" i="3"/>
  <c r="AE50" i="3"/>
  <c r="AE47" i="3"/>
  <c r="AE44" i="3"/>
  <c r="AE41" i="3"/>
  <c r="AE38" i="3"/>
  <c r="AE35" i="3"/>
  <c r="AE32" i="3"/>
  <c r="AE29" i="3"/>
  <c r="AE26" i="3"/>
  <c r="AE23" i="3"/>
  <c r="AE18" i="3"/>
  <c r="AE62" i="3"/>
  <c r="AE46" i="3"/>
  <c r="AE61" i="3"/>
  <c r="AE25" i="3"/>
  <c r="AE40" i="3"/>
  <c r="AE55" i="3"/>
  <c r="AE34" i="3"/>
  <c r="AE49" i="3"/>
  <c r="AE28" i="3"/>
  <c r="AE43" i="3"/>
  <c r="AE37" i="3"/>
  <c r="AE58" i="3"/>
  <c r="AE22" i="3"/>
  <c r="AE17" i="3" s="1"/>
  <c r="AE52" i="3"/>
  <c r="AE31" i="3"/>
  <c r="AD63" i="2" l="1"/>
  <c r="AD62" i="2"/>
  <c r="AD18" i="2"/>
  <c r="AE21" i="2"/>
  <c r="AE60" i="1"/>
  <c r="AE57" i="1"/>
  <c r="AE54" i="1"/>
  <c r="AE51" i="1"/>
  <c r="AE48" i="1"/>
  <c r="AE45" i="1"/>
  <c r="AE42" i="1"/>
  <c r="AE39" i="1"/>
  <c r="AE36" i="1"/>
  <c r="AE33" i="1"/>
  <c r="AE30" i="1"/>
  <c r="AE24" i="1"/>
  <c r="AE64" i="1"/>
  <c r="AE29" i="1"/>
  <c r="AE23" i="1"/>
  <c r="AE61" i="1"/>
  <c r="AE58" i="1"/>
  <c r="AE55" i="1"/>
  <c r="AE52" i="1"/>
  <c r="AE49" i="1"/>
  <c r="AE46" i="1"/>
  <c r="AE43" i="1"/>
  <c r="AE40" i="1"/>
  <c r="AE37" i="1"/>
  <c r="AE34" i="1"/>
  <c r="AE31" i="1"/>
  <c r="AE26" i="1"/>
  <c r="AE35" i="1"/>
  <c r="AE25" i="1"/>
  <c r="AE53" i="1"/>
  <c r="AE65" i="1"/>
  <c r="AE38" i="1"/>
  <c r="AE22" i="1"/>
  <c r="AF21" i="1"/>
  <c r="AE56" i="1"/>
  <c r="AE41" i="1"/>
  <c r="AE63" i="1"/>
  <c r="AE44" i="1"/>
  <c r="AE28" i="1"/>
  <c r="AE59" i="1"/>
  <c r="AE18" i="1"/>
  <c r="AE47" i="1"/>
  <c r="AE27" i="1"/>
  <c r="AE62" i="1"/>
  <c r="AE50" i="1"/>
  <c r="AE32" i="1"/>
  <c r="AF61" i="3"/>
  <c r="AF58" i="3"/>
  <c r="AF55" i="3"/>
  <c r="AF52" i="3"/>
  <c r="AF49" i="3"/>
  <c r="AF46" i="3"/>
  <c r="AF43" i="3"/>
  <c r="AF40" i="3"/>
  <c r="AF37" i="3"/>
  <c r="AF34" i="3"/>
  <c r="AF31" i="3"/>
  <c r="AF28" i="3"/>
  <c r="AF25" i="3"/>
  <c r="AF22" i="3"/>
  <c r="AF17" i="3" s="1"/>
  <c r="F18" i="3" s="1"/>
  <c r="AF65" i="3"/>
  <c r="AF60" i="3"/>
  <c r="AF57" i="3"/>
  <c r="AF54" i="3"/>
  <c r="AF51" i="3"/>
  <c r="AF48" i="3"/>
  <c r="AF45" i="3"/>
  <c r="AF42" i="3"/>
  <c r="AF39" i="3"/>
  <c r="AF36" i="3"/>
  <c r="AF33" i="3"/>
  <c r="AF30" i="3"/>
  <c r="AF27" i="3"/>
  <c r="AF24" i="3"/>
  <c r="AF64" i="3"/>
  <c r="AF63" i="3"/>
  <c r="AF59" i="3"/>
  <c r="AF56" i="3"/>
  <c r="AF53" i="3"/>
  <c r="AF50" i="3"/>
  <c r="AF47" i="3"/>
  <c r="AF44" i="3"/>
  <c r="AF41" i="3"/>
  <c r="AF38" i="3"/>
  <c r="AF35" i="3"/>
  <c r="AF32" i="3"/>
  <c r="AF29" i="3"/>
  <c r="AF26" i="3"/>
  <c r="AF23" i="3"/>
  <c r="AF18" i="3"/>
  <c r="AF62" i="3"/>
  <c r="H20" i="3" l="1"/>
  <c r="F20" i="3"/>
  <c r="AC19" i="3" s="1" a="1"/>
  <c r="AC19" i="3" s="1"/>
  <c r="AE62" i="2"/>
  <c r="AE61" i="2"/>
  <c r="AE58" i="2"/>
  <c r="AE55" i="2"/>
  <c r="AE52" i="2"/>
  <c r="AE49" i="2"/>
  <c r="AE46" i="2"/>
  <c r="AE43" i="2"/>
  <c r="AE40" i="2"/>
  <c r="AE37" i="2"/>
  <c r="AE34" i="2"/>
  <c r="AE31" i="2"/>
  <c r="AE65" i="2"/>
  <c r="AE24" i="2"/>
  <c r="AE64" i="2"/>
  <c r="AE63" i="2"/>
  <c r="AE59" i="2"/>
  <c r="AE56" i="2"/>
  <c r="AE53" i="2"/>
  <c r="AE50" i="2"/>
  <c r="AE47" i="2"/>
  <c r="AE44" i="2"/>
  <c r="AE41" i="2"/>
  <c r="AE38" i="2"/>
  <c r="AE35" i="2"/>
  <c r="AE32" i="2"/>
  <c r="AE29" i="2"/>
  <c r="AE26" i="2"/>
  <c r="AE22" i="2"/>
  <c r="AE25" i="2"/>
  <c r="AE60" i="2"/>
  <c r="AE48" i="2"/>
  <c r="AE36" i="2"/>
  <c r="AE28" i="2"/>
  <c r="AE18" i="2"/>
  <c r="AE51" i="2"/>
  <c r="AE39" i="2"/>
  <c r="AE23" i="2"/>
  <c r="AE27" i="2"/>
  <c r="AE54" i="2"/>
  <c r="AE42" i="2"/>
  <c r="AE30" i="2"/>
  <c r="AF21" i="2"/>
  <c r="AE57" i="2"/>
  <c r="AE45" i="2"/>
  <c r="AE33" i="2"/>
  <c r="AF64" i="1"/>
  <c r="AF29" i="1"/>
  <c r="AF23" i="1"/>
  <c r="AF61" i="1"/>
  <c r="AF58" i="1"/>
  <c r="AF55" i="1"/>
  <c r="AF52" i="1"/>
  <c r="AF57" i="1"/>
  <c r="AF53" i="1"/>
  <c r="AF42" i="1"/>
  <c r="AF24" i="1"/>
  <c r="AF43" i="1"/>
  <c r="AF65" i="1"/>
  <c r="AF49" i="1"/>
  <c r="AF38" i="1"/>
  <c r="AF31" i="1"/>
  <c r="AF22" i="1"/>
  <c r="AF28" i="1"/>
  <c r="AF45" i="1"/>
  <c r="AF60" i="1"/>
  <c r="AF56" i="1"/>
  <c r="AF41" i="1"/>
  <c r="AF34" i="1"/>
  <c r="AF44" i="1"/>
  <c r="AF37" i="1"/>
  <c r="AF50" i="1"/>
  <c r="AF46" i="1"/>
  <c r="AF48" i="1"/>
  <c r="AF30" i="1"/>
  <c r="AF63" i="1"/>
  <c r="AF54" i="1"/>
  <c r="AF32" i="1"/>
  <c r="AF62" i="1"/>
  <c r="AF59" i="1"/>
  <c r="AF51" i="1"/>
  <c r="AF33" i="1"/>
  <c r="AF18" i="1"/>
  <c r="AF26" i="1"/>
  <c r="AF47" i="1"/>
  <c r="AF40" i="1"/>
  <c r="AF27" i="1"/>
  <c r="AF36" i="1"/>
  <c r="AF39" i="1"/>
  <c r="AF25" i="1"/>
  <c r="AF35" i="1"/>
  <c r="AE17" i="1"/>
  <c r="AE17" i="2" l="1"/>
  <c r="N19" i="3" a="1"/>
  <c r="N19" i="3" s="1"/>
  <c r="AF19" i="3" a="1"/>
  <c r="AF19" i="3" s="1"/>
  <c r="AA19" i="3" a="1"/>
  <c r="AA19" i="3" s="1"/>
  <c r="X19" i="3" a="1"/>
  <c r="X19" i="3" s="1"/>
  <c r="T19" i="3" a="1"/>
  <c r="T19" i="3" s="1"/>
  <c r="O19" i="3" a="1"/>
  <c r="O19" i="3" s="1"/>
  <c r="AD19" i="3" a="1"/>
  <c r="AD19" i="3" s="1"/>
  <c r="Z19" i="3" a="1"/>
  <c r="Z19" i="3" s="1"/>
  <c r="M19" i="3" a="1"/>
  <c r="M19" i="3" s="1"/>
  <c r="J19" i="3" a="1"/>
  <c r="J19" i="3" s="1"/>
  <c r="S19" i="3" a="1"/>
  <c r="S19" i="3" s="1"/>
  <c r="P19" i="3" a="1"/>
  <c r="P19" i="3" s="1"/>
  <c r="Y19" i="3" a="1"/>
  <c r="Y19" i="3" s="1"/>
  <c r="V19" i="3" a="1"/>
  <c r="V19" i="3" s="1"/>
  <c r="L19" i="3" a="1"/>
  <c r="L19" i="3" s="1"/>
  <c r="AE19" i="3" a="1"/>
  <c r="AE19" i="3" s="1"/>
  <c r="W19" i="3" a="1"/>
  <c r="W19" i="3" s="1"/>
  <c r="AF65" i="2"/>
  <c r="AF24" i="2"/>
  <c r="AF60" i="2"/>
  <c r="AF57" i="2"/>
  <c r="AF54" i="2"/>
  <c r="AF51" i="2"/>
  <c r="AF48" i="2"/>
  <c r="AF45" i="2"/>
  <c r="AF42" i="2"/>
  <c r="AF39" i="2"/>
  <c r="AF36" i="2"/>
  <c r="AF33" i="2"/>
  <c r="AF30" i="2"/>
  <c r="AF27" i="2"/>
  <c r="AF18" i="2"/>
  <c r="AF22" i="2"/>
  <c r="AF62" i="2"/>
  <c r="AF56" i="2"/>
  <c r="AF52" i="2"/>
  <c r="AF44" i="2"/>
  <c r="AF40" i="2"/>
  <c r="AF32" i="2"/>
  <c r="AF28" i="2"/>
  <c r="AF23" i="2"/>
  <c r="AF64" i="2"/>
  <c r="AF59" i="2"/>
  <c r="AF55" i="2"/>
  <c r="AF47" i="2"/>
  <c r="AF43" i="2"/>
  <c r="AF35" i="2"/>
  <c r="AF31" i="2"/>
  <c r="AF25" i="2"/>
  <c r="AF63" i="2"/>
  <c r="AF58" i="2"/>
  <c r="AF50" i="2"/>
  <c r="AF46" i="2"/>
  <c r="AF38" i="2"/>
  <c r="AF34" i="2"/>
  <c r="AF26" i="2"/>
  <c r="AF61" i="2"/>
  <c r="AF53" i="2"/>
  <c r="AF49" i="2"/>
  <c r="AF41" i="2"/>
  <c r="AF37" i="2"/>
  <c r="AF29" i="2"/>
  <c r="AB19" i="3" a="1"/>
  <c r="AB19" i="3" s="1"/>
  <c r="K19" i="3" a="1"/>
  <c r="K19" i="3" s="1"/>
  <c r="AF17" i="1"/>
  <c r="F18" i="1" s="1"/>
  <c r="H19" i="3" a="1"/>
  <c r="H19" i="3" s="1"/>
  <c r="I19" i="3" a="1"/>
  <c r="I19" i="3" s="1"/>
  <c r="Q19" i="3" a="1"/>
  <c r="Q19" i="3" s="1"/>
  <c r="R19" i="3" a="1"/>
  <c r="R19" i="3" s="1"/>
  <c r="U19" i="3" a="1"/>
  <c r="U19" i="3" s="1"/>
  <c r="H20" i="1" l="1"/>
  <c r="F20" i="1"/>
  <c r="AF17" i="2"/>
  <c r="AC19" i="1" l="1" a="1"/>
  <c r="AC19" i="1" s="1"/>
  <c r="V19" i="1" a="1"/>
  <c r="V19" i="1" s="1"/>
  <c r="O19" i="1" a="1"/>
  <c r="O19" i="1" s="1"/>
  <c r="Y19" i="1" a="1"/>
  <c r="Y19" i="1" s="1"/>
  <c r="L19" i="1" a="1"/>
  <c r="L19" i="1" s="1"/>
  <c r="H19" i="1" a="1"/>
  <c r="H19" i="1" s="1"/>
  <c r="P19" i="1" a="1"/>
  <c r="P19" i="1" s="1"/>
  <c r="R19" i="1" a="1"/>
  <c r="R19" i="1" s="1"/>
  <c r="AD19" i="1" a="1"/>
  <c r="AD19" i="1" s="1"/>
  <c r="AF19" i="1" a="1"/>
  <c r="AF19" i="1" s="1"/>
  <c r="W19" i="1" a="1"/>
  <c r="W19" i="1" s="1"/>
  <c r="S19" i="1" a="1"/>
  <c r="S19" i="1" s="1"/>
  <c r="J19" i="1" a="1"/>
  <c r="J19" i="1" s="1"/>
  <c r="AB19" i="1" a="1"/>
  <c r="AB19" i="1" s="1"/>
  <c r="N19" i="1" a="1"/>
  <c r="N19" i="1" s="1"/>
  <c r="M19" i="1" a="1"/>
  <c r="M19" i="1" s="1"/>
  <c r="I19" i="1" a="1"/>
  <c r="I19" i="1" s="1"/>
  <c r="K19" i="1" a="1"/>
  <c r="K19" i="1" s="1"/>
  <c r="T19" i="1" a="1"/>
  <c r="T19" i="1" s="1"/>
  <c r="U19" i="1" a="1"/>
  <c r="U19" i="1" s="1"/>
  <c r="AE19" i="1" a="1"/>
  <c r="AE19" i="1" s="1"/>
  <c r="AA19" i="1" a="1"/>
  <c r="AA19" i="1" s="1"/>
  <c r="Q19" i="1" a="1"/>
  <c r="Q19" i="1" s="1"/>
  <c r="X19" i="1" a="1"/>
  <c r="X19" i="1" s="1"/>
  <c r="Z19" i="1" a="1"/>
  <c r="Z19" i="1" s="1"/>
  <c r="I17" i="2" l="1"/>
  <c r="J17" i="2"/>
  <c r="F18" i="2" l="1"/>
  <c r="F20" i="2" s="1"/>
  <c r="H20" i="2" l="1"/>
  <c r="J19" i="2" s="1" a="1"/>
  <c r="J19" i="2" s="1"/>
  <c r="O19" i="2" l="1" a="1"/>
  <c r="O19" i="2" s="1"/>
  <c r="I19" i="2" a="1"/>
  <c r="I19" i="2" s="1"/>
  <c r="K19" i="2" a="1"/>
  <c r="K19" i="2" s="1"/>
  <c r="S19" i="2" a="1"/>
  <c r="S19" i="2" s="1"/>
  <c r="Z19" i="2" a="1"/>
  <c r="Z19" i="2" s="1"/>
  <c r="R19" i="2" a="1"/>
  <c r="R19" i="2" s="1"/>
  <c r="Q19" i="2" a="1"/>
  <c r="Q19" i="2" s="1"/>
  <c r="H19" i="2" a="1"/>
  <c r="H19" i="2" s="1"/>
  <c r="L19" i="2" a="1"/>
  <c r="L19" i="2" s="1"/>
  <c r="V19" i="2" a="1"/>
  <c r="V19" i="2" s="1"/>
  <c r="X19" i="2" a="1"/>
  <c r="X19" i="2" s="1"/>
  <c r="AC19" i="2" a="1"/>
  <c r="AC19" i="2" s="1"/>
  <c r="AB19" i="2" a="1"/>
  <c r="AB19" i="2" s="1"/>
  <c r="U19" i="2" a="1"/>
  <c r="U19" i="2" s="1"/>
  <c r="T19" i="2" a="1"/>
  <c r="T19" i="2" s="1"/>
  <c r="Y19" i="2" a="1"/>
  <c r="Y19" i="2" s="1"/>
  <c r="AF19" i="2" a="1"/>
  <c r="AF19" i="2" s="1"/>
  <c r="W19" i="2" a="1"/>
  <c r="W19" i="2" s="1"/>
  <c r="N19" i="2" a="1"/>
  <c r="N19" i="2" s="1"/>
  <c r="P19" i="2" a="1"/>
  <c r="P19" i="2" s="1"/>
  <c r="AA19" i="2" a="1"/>
  <c r="AA19" i="2" s="1"/>
  <c r="AE19" i="2" a="1"/>
  <c r="AE19" i="2" s="1"/>
  <c r="M19" i="2" a="1"/>
  <c r="M19" i="2" s="1"/>
  <c r="AD19" i="2" a="1"/>
  <c r="AD1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000-000001000000}">
      <text>
        <r>
          <rPr>
            <sz val="10"/>
            <color rgb="FF000000"/>
            <rFont val="Arial"/>
            <family val="2"/>
            <scheme val="minor"/>
          </rPr>
          <t>======
ID#AAAB3AahyNg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iZtKuoLw6rBsRDmHPCXj+4UlMfg=="/>
    </ext>
  </extL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100-000001000000}">
      <text>
        <r>
          <rPr>
            <sz val="10"/>
            <color rgb="FF000000"/>
            <rFont val="Arial"/>
            <family val="2"/>
            <scheme val="minor"/>
          </rPr>
          <t>======
ID#AAAB3AahyNc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1zXqPR6XvglyH4WdZ0ANzpAjAAA=="/>
    </ext>
  </extL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C16" authorId="0" shapeId="0" xr:uid="{00000000-0006-0000-0200-000001000000}">
      <text>
        <r>
          <rPr>
            <sz val="10"/>
            <color rgb="FF000000"/>
            <rFont val="Arial"/>
            <family val="2"/>
            <scheme val="minor"/>
          </rPr>
          <t>======
ID#AAAB3AahyNY
Petri Heiramo    (2026-04-04 04:42:06)
Count only active working and implementation days. Do not include Planning Day or Sprint Review.
E.g. a 4-week Sprint would most likely have 18 implementation days.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itopMoPwOwIibxpxD2zGu2Z13qsA=="/>
    </ext>
  </extLst>
</comments>
</file>

<file path=xl/sharedStrings.xml><?xml version="1.0" encoding="utf-8"?>
<sst xmlns="http://schemas.openxmlformats.org/spreadsheetml/2006/main" count="156" uniqueCount="60">
  <si>
    <t>Nombre del Proyecto:</t>
  </si>
  <si>
    <t>Planner UC – Sistema de Generación Óptima de Horarios Académicos</t>
  </si>
  <si>
    <t>Dueño del Proyecto</t>
  </si>
  <si>
    <t>Gamarra Moreno Daniel</t>
  </si>
  <si>
    <t>Gerente del Proyecto:</t>
  </si>
  <si>
    <t>Tapia De La Cruz Jhann Pier</t>
  </si>
  <si>
    <t>Duración del Sprint</t>
  </si>
  <si>
    <t>Esfuerzo</t>
  </si>
  <si>
    <t>Faltante en los días siguientes…</t>
  </si>
  <si>
    <t>Tendencia calculada en los últimos</t>
  </si>
  <si>
    <t>Días</t>
  </si>
  <si>
    <t>Totales</t>
  </si>
  <si>
    <t>Task rows</t>
  </si>
  <si>
    <t>Done days</t>
  </si>
  <si>
    <t>Warning! These are necessary</t>
  </si>
  <si>
    <t>Trend</t>
  </si>
  <si>
    <t>template rows</t>
  </si>
  <si>
    <t>Trend Days</t>
  </si>
  <si>
    <t>ID Tarea</t>
  </si>
  <si>
    <t>Tarea</t>
  </si>
  <si>
    <t>ID Historia</t>
  </si>
  <si>
    <t>Responsable</t>
  </si>
  <si>
    <t>Estado</t>
  </si>
  <si>
    <t>Est.</t>
  </si>
  <si>
    <t>Implementar endpoint de login con validación de credenciales y generación de JWT</t>
  </si>
  <si>
    <t>HU01</t>
  </si>
  <si>
    <t>Integrante 1</t>
  </si>
  <si>
    <t>Implementar almacenamiento de contraseñas con bcrypt (cost factor ≥ 10)</t>
  </si>
  <si>
    <t>Implementar endpoint de logout con invalidación del token/sesión</t>
  </si>
  <si>
    <t>Desarrollar vistas SPA de login y logout</t>
  </si>
  <si>
    <t>Integrante 2</t>
  </si>
  <si>
    <t>Diseñar e implementar middleware de autorización por roles en la API REST</t>
  </si>
  <si>
    <t>HU02</t>
  </si>
  <si>
    <t>Escribir suite de pruebas de autorización: acceso correcto e incorrecto por cada rol</t>
  </si>
  <si>
    <t>Verificar uso de queries parametrizados u ORM en todos los accesos a base de datos</t>
  </si>
  <si>
    <t>HU03</t>
  </si>
  <si>
    <t>Integrante 3</t>
  </si>
  <si>
    <t>Por Hacer</t>
  </si>
  <si>
    <t>Implementar escape de salida HTML en las vistas SPA para prevenir XSS</t>
  </si>
  <si>
    <t>Implementar protección CSRF (tokens de sincronización o SameSite cookies</t>
  </si>
  <si>
    <t>Done</t>
  </si>
  <si>
    <t>In Progress</t>
  </si>
  <si>
    <t>To Do</t>
  </si>
  <si>
    <t>Terminado</t>
  </si>
  <si>
    <t>Diseñar modelo de datos del estudiante y migraciones de base de datos</t>
  </si>
  <si>
    <t>Implementar endpoints CRUD de estudiantes con validación de unicidad de código</t>
  </si>
  <si>
    <t>Desarrollar vista SPA: listar, crear, editar, eliminar y buscar estudiantes</t>
  </si>
  <si>
    <t>Escribir pruebas unitarias e integración del módulo de estudiantes</t>
  </si>
  <si>
    <t>Diseñar modelo de datos del docente con estructura de disponibilidad horaria semanal</t>
  </si>
  <si>
    <t>Implementar endpoints CRUD de docentes y endpoint de actualización de disponibilidad</t>
  </si>
  <si>
    <t>Desarrollar vista SPA: CRUD de docentes y grilla semanal de disponibilidad editable</t>
  </si>
  <si>
    <t>Escribir pruebas unitarias e integración del módulo de docentes y disponibilidad</t>
  </si>
  <si>
    <t>Diseñar modelo de datos del curso con estructura de prerrequisitos (relación self-referencial)</t>
  </si>
  <si>
    <t>Implementar endpoints CRUD de cursos con validaciones de créditos, horas y prerrequisitos existentes</t>
  </si>
  <si>
    <t>Implementar validación de integridad referencial al eliminar cursos que son prerrequisitos</t>
  </si>
  <si>
    <t>Desarrollar vista SPA: CRUD de cursos con selector de prerrequisitos y tipo de aula</t>
  </si>
  <si>
    <t>Diseñar modelo de datos del aula con estructura de disponibilidad por franja horaria</t>
  </si>
  <si>
    <t>Implementar endpoints CRUD de aulas con validación de capacidad &gt; 0</t>
  </si>
  <si>
    <t>Desarrollar vista SPA: CRUD de aulas con grilla de disponibilidad por franja editable</t>
  </si>
  <si>
    <t>Integrante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</si>
</sst>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Sprint &quot;#&quot; Backlog&quot;"/>
  </numFmts>
  <fonts count="12" x14ac:knownFonts="1">
    <font>
      <sz val="10"/>
      <color rgb="FF000000"/>
      <name val="Arial"/>
      <scheme val="minor"/>
    </font>
    <font>
      <sz val="10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  <font>
      <b/>
      <sz val="10"/>
      <color rgb="FFFF0000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FFCC99"/>
        <bgColor rgb="FFFFCC99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/>
    <xf numFmtId="0" fontId="2" fillId="2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 wrapText="1"/>
    </xf>
    <xf numFmtId="0" fontId="1" fillId="2" borderId="5" xfId="0" applyFont="1" applyFill="1" applyBorder="1"/>
    <xf numFmtId="0" fontId="2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0" fontId="2" fillId="2" borderId="10" xfId="0" applyFont="1" applyFill="1" applyBorder="1" applyAlignment="1">
      <alignment horizontal="center" vertical="center" wrapText="1"/>
    </xf>
    <xf numFmtId="0" fontId="1" fillId="2" borderId="11" xfId="0" applyFont="1" applyFill="1" applyBorder="1"/>
    <xf numFmtId="0" fontId="2" fillId="2" borderId="11" xfId="0" applyFont="1" applyFill="1" applyBorder="1" applyAlignment="1">
      <alignment horizontal="left" vertical="center" wrapText="1"/>
    </xf>
    <xf numFmtId="0" fontId="2" fillId="2" borderId="11" xfId="0" applyFont="1" applyFill="1" applyBorder="1" applyAlignment="1">
      <alignment horizontal="center" vertical="center" wrapText="1"/>
    </xf>
    <xf numFmtId="0" fontId="2" fillId="2" borderId="11" xfId="0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164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1" fillId="0" borderId="0" xfId="0" applyFont="1"/>
    <xf numFmtId="0" fontId="5" fillId="0" borderId="0" xfId="0" applyFont="1"/>
    <xf numFmtId="0" fontId="6" fillId="3" borderId="5" xfId="0" applyFont="1" applyFill="1" applyBorder="1"/>
    <xf numFmtId="0" fontId="1" fillId="3" borderId="5" xfId="0" applyFont="1" applyFill="1" applyBorder="1"/>
    <xf numFmtId="0" fontId="6" fillId="0" borderId="0" xfId="0" applyFont="1" applyAlignment="1">
      <alignment horizontal="center"/>
    </xf>
    <xf numFmtId="0" fontId="7" fillId="0" borderId="0" xfId="0" applyFont="1"/>
    <xf numFmtId="0" fontId="6" fillId="3" borderId="5" xfId="0" applyFont="1" applyFill="1" applyBorder="1" applyAlignment="1">
      <alignment horizontal="center"/>
    </xf>
    <xf numFmtId="0" fontId="8" fillId="0" borderId="13" xfId="0" applyFont="1" applyBorder="1"/>
    <xf numFmtId="0" fontId="9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3" fillId="2" borderId="6" xfId="0" applyFont="1" applyFill="1" applyBorder="1" applyAlignment="1">
      <alignment horizontal="left" vertical="center" wrapText="1"/>
    </xf>
    <xf numFmtId="0" fontId="4" fillId="0" borderId="7" xfId="0" applyFont="1" applyBorder="1"/>
    <xf numFmtId="0" fontId="4" fillId="0" borderId="8" xfId="0" applyFont="1" applyBorder="1"/>
    <xf numFmtId="0" fontId="2" fillId="2" borderId="6" xfId="0" applyFont="1" applyFill="1" applyBorder="1" applyAlignment="1">
      <alignment horizontal="left" vertical="center" wrapText="1"/>
    </xf>
  </cellXfs>
  <cellStyles count="1">
    <cellStyle name="Normal" xfId="0" builtinId="0"/>
  </cellStyles>
  <dxfs count="12"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99"/>
          <bgColor rgb="FFFFFF99"/>
        </patternFill>
      </fill>
    </dxf>
    <dxf>
      <fill>
        <patternFill patternType="solid">
          <fgColor rgb="FFCCFFCC"/>
          <bgColor rgb="FFCC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comments2.xml.rels><?xml version="1.0" encoding="UTF-8" standalone="yes"?>
<Relationships xmlns="http://schemas.openxmlformats.org/package/2006/relationships"><Relationship Id="rId1" Type="http://customschemas.google.com/relationships/workbookmetadata" Target="commentsmeta1"/></Relationships>
</file>

<file path=xl/_rels/comments3.xml.rels><?xml version="1.0" encoding="UTF-8" standalone="yes"?>
<Relationships xmlns="http://schemas.openxmlformats.org/package/2006/relationships"><Relationship Id="rId1" Type="http://customschemas.google.com/relationships/workbookmetadata" Target="commentsmeta2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1'!$H$17:$AF$17</c:f>
              <c:numCache>
                <c:formatCode>General</c:formatCode>
                <c:ptCount val="25"/>
                <c:pt idx="0">
                  <c:v>29</c:v>
                </c:pt>
                <c:pt idx="1">
                  <c:v>22</c:v>
                </c:pt>
                <c:pt idx="2">
                  <c:v>16</c:v>
                </c:pt>
                <c:pt idx="3">
                  <c:v>10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29908637"/>
        <c:axId val="940494888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1'!$H$18:$AF$18</c:f>
              <c:numCache>
                <c:formatCode>General</c:formatCode>
                <c:ptCount val="25"/>
                <c:pt idx="0">
                  <c:v>29</c:v>
                </c:pt>
                <c:pt idx="1">
                  <c:v>25.375</c:v>
                </c:pt>
                <c:pt idx="2">
                  <c:v>21.75</c:v>
                </c:pt>
                <c:pt idx="3">
                  <c:v>18.125</c:v>
                </c:pt>
                <c:pt idx="4">
                  <c:v>14.5</c:v>
                </c:pt>
                <c:pt idx="5">
                  <c:v>10.875</c:v>
                </c:pt>
                <c:pt idx="6">
                  <c:v>7.25</c:v>
                </c:pt>
                <c:pt idx="7">
                  <c:v>3.625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A51-4BE8-96F5-573D2EEA195D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1'!$H$19:$AF$19</c:f>
              <c:numCache>
                <c:formatCode>General</c:formatCode>
                <c:ptCount val="25"/>
                <c:pt idx="0">
                  <c:v>28.7</c:v>
                </c:pt>
                <c:pt idx="1">
                  <c:v>22.4</c:v>
                </c:pt>
                <c:pt idx="2">
                  <c:v>16.099999999999998</c:v>
                </c:pt>
                <c:pt idx="3">
                  <c:v>9.7999999999999972</c:v>
                </c:pt>
                <c:pt idx="4">
                  <c:v>3.4999999999999964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51-4BE8-96F5-573D2EEA1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9908637"/>
        <c:axId val="940494888"/>
      </c:lineChart>
      <c:catAx>
        <c:axId val="72990863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940494888"/>
        <c:crosses val="autoZero"/>
        <c:auto val="1"/>
        <c:lblAlgn val="ctr"/>
        <c:lblOffset val="100"/>
        <c:noMultiLvlLbl val="1"/>
      </c:catAx>
      <c:valAx>
        <c:axId val="940494888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72990863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'Sprint 2'!$H$17:$AF$17</c:f>
              <c:numCache>
                <c:formatCode>General</c:formatCode>
                <c:ptCount val="25"/>
                <c:pt idx="0">
                  <c:v>78</c:v>
                </c:pt>
                <c:pt idx="1">
                  <c:v>67</c:v>
                </c:pt>
                <c:pt idx="2">
                  <c:v>53</c:v>
                </c:pt>
                <c:pt idx="3">
                  <c:v>40</c:v>
                </c:pt>
                <c:pt idx="4">
                  <c:v>25</c:v>
                </c:pt>
                <c:pt idx="5">
                  <c:v>10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29207147"/>
        <c:axId val="2119556215"/>
      </c:barChart>
      <c:lineChart>
        <c:grouping val="standard"/>
        <c:varyColors val="1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2'!$H$18:$AF$18</c:f>
              <c:numCache>
                <c:formatCode>General</c:formatCode>
                <c:ptCount val="25"/>
                <c:pt idx="0">
                  <c:v>78</c:v>
                </c:pt>
                <c:pt idx="1">
                  <c:v>73.89473684210526</c:v>
                </c:pt>
                <c:pt idx="2">
                  <c:v>69.78947368421052</c:v>
                </c:pt>
                <c:pt idx="3">
                  <c:v>65.68421052631578</c:v>
                </c:pt>
                <c:pt idx="4">
                  <c:v>61.578947368421055</c:v>
                </c:pt>
                <c:pt idx="5">
                  <c:v>57.473684210526315</c:v>
                </c:pt>
                <c:pt idx="6">
                  <c:v>53.368421052631575</c:v>
                </c:pt>
                <c:pt idx="7">
                  <c:v>49.263157894736835</c:v>
                </c:pt>
                <c:pt idx="8">
                  <c:v>45.157894736842103</c:v>
                </c:pt>
                <c:pt idx="9">
                  <c:v>41.052631578947363</c:v>
                </c:pt>
                <c:pt idx="10">
                  <c:v>36.94736842105263</c:v>
                </c:pt>
                <c:pt idx="11">
                  <c:v>32.84210526315789</c:v>
                </c:pt>
                <c:pt idx="12">
                  <c:v>28.73684210526315</c:v>
                </c:pt>
                <c:pt idx="13">
                  <c:v>24.631578947368418</c:v>
                </c:pt>
                <c:pt idx="14">
                  <c:v>20.526315789473678</c:v>
                </c:pt>
                <c:pt idx="15">
                  <c:v>16.421052631578945</c:v>
                </c:pt>
                <c:pt idx="16">
                  <c:v>12.315789473684205</c:v>
                </c:pt>
                <c:pt idx="17">
                  <c:v>8.2105263157894655</c:v>
                </c:pt>
                <c:pt idx="18">
                  <c:v>4.1052631578947256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EB3-4682-8E46-DFAF46B7CF64}"/>
            </c:ext>
          </c:extLst>
        </c:ser>
        <c:ser>
          <c:idx val="2"/>
          <c:order val="2"/>
          <c:tx>
            <c:v>Current Trend</c:v>
          </c:tx>
          <c:spPr>
            <a:ln cmpd="sng">
              <a:solidFill>
                <a:srgbClr val="0000FF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'Sprint 2'!$H$19:$AF$19</c:f>
              <c:numCache>
                <c:formatCode>General</c:formatCode>
                <c:ptCount val="25"/>
                <c:pt idx="0">
                  <c:v>79.714285714285722</c:v>
                </c:pt>
                <c:pt idx="1">
                  <c:v>66.028571428571439</c:v>
                </c:pt>
                <c:pt idx="2">
                  <c:v>52.342857142857149</c:v>
                </c:pt>
                <c:pt idx="3">
                  <c:v>38.657142857142865</c:v>
                </c:pt>
                <c:pt idx="4">
                  <c:v>24.971428571428575</c:v>
                </c:pt>
                <c:pt idx="5">
                  <c:v>11.285714285714292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EB3-4682-8E46-DFAF46B7CF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9207147"/>
        <c:axId val="2119556215"/>
      </c:lineChart>
      <c:catAx>
        <c:axId val="16292071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2119556215"/>
        <c:crosses val="autoZero"/>
        <c:auto val="1"/>
        <c:lblAlgn val="ctr"/>
        <c:lblOffset val="100"/>
        <c:noMultiLvlLbl val="1"/>
      </c:catAx>
      <c:valAx>
        <c:axId val="211955621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29207147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autoTitleDeleted val="1"/>
    <c:plotArea>
      <c:layout>
        <c:manualLayout>
          <c:xMode val="edge"/>
          <c:yMode val="edge"/>
          <c:x val="0.17845828933474128"/>
          <c:y val="8.8235610910252865E-2"/>
          <c:w val="0.81731784582893352"/>
          <c:h val="0.8308853360715478"/>
        </c:manualLayout>
      </c:layout>
      <c:barChart>
        <c:barDir val="col"/>
        <c:grouping val="clustered"/>
        <c:varyColors val="1"/>
        <c:ser>
          <c:idx val="0"/>
          <c:order val="0"/>
          <c:tx>
            <c:v>Daily Progress</c:v>
          </c:tx>
          <c:spPr>
            <a:solidFill>
              <a:srgbClr val="9999FF"/>
            </a:solidFill>
            <a:ln cmpd="sng">
              <a:solidFill>
                <a:srgbClr val="000000"/>
              </a:solidFill>
            </a:ln>
          </c:spPr>
          <c:invertIfNegative val="1"/>
          <c:val>
            <c:numRef>
              <c:f>'Plantilla Sprint'!$H$17:$AF$17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695796504"/>
        <c:axId val="14667545"/>
      </c:barChart>
      <c:lineChart>
        <c:grouping val="standard"/>
        <c:varyColors val="0"/>
        <c:ser>
          <c:idx val="1"/>
          <c:order val="1"/>
          <c:tx>
            <c:v>Ideal Progress</c:v>
          </c:tx>
          <c:spPr>
            <a:ln w="9525" cmpd="sng">
              <a:solidFill>
                <a:srgbClr val="969696">
                  <a:alpha val="100000"/>
                </a:srgbClr>
              </a:solidFill>
              <a:prstDash val="solid"/>
            </a:ln>
          </c:spPr>
          <c:marker>
            <c:symbol val="none"/>
          </c:marker>
          <c:val>
            <c:numRef>
              <c:f>'Plantilla Sprint'!$H$18:$AF$18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92-44D7-8F7E-DFC868C6C3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95796504"/>
        <c:axId val="14667545"/>
      </c:lineChart>
      <c:catAx>
        <c:axId val="16957965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s-PE"/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s-PE"/>
          </a:p>
        </c:txPr>
        <c:crossAx val="14667545"/>
        <c:crosses val="autoZero"/>
        <c:auto val="1"/>
        <c:lblAlgn val="ctr"/>
        <c:lblOffset val="100"/>
        <c:noMultiLvlLbl val="1"/>
      </c:catAx>
      <c:valAx>
        <c:axId val="14667545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 lvl="0">
                  <a:defRPr sz="800" b="0" i="0">
                    <a:solidFill>
                      <a:srgbClr val="000000"/>
                    </a:solidFill>
                    <a:latin typeface="Arial"/>
                  </a:defRPr>
                </a:pPr>
                <a:r>
                  <a:rPr lang="es-PE" sz="800" b="0" i="0">
                    <a:solidFill>
                      <a:srgbClr val="000000"/>
                    </a:solidFill>
                    <a:latin typeface="Arial"/>
                  </a:rPr>
                  <a:t>Work Remaining (h)</a:t>
                </a:r>
              </a:p>
            </c:rich>
          </c:tx>
          <c:layout>
            <c:manualLayout>
              <c:xMode val="edge"/>
              <c:yMode val="edge"/>
              <c:x val="0.13938754040042517"/>
              <c:y val="0.13970665431526941"/>
            </c:manualLayout>
          </c:layout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 rot="0"/>
          <a:lstStyle/>
          <a:p>
            <a:pPr lvl="0">
              <a:defRPr sz="500" b="0" i="0">
                <a:solidFill>
                  <a:srgbClr val="000000"/>
                </a:solidFill>
                <a:latin typeface="Arial"/>
              </a:defRPr>
            </a:pPr>
            <a:endParaRPr lang="es-PE"/>
          </a:p>
        </c:txPr>
        <c:crossAx val="1695796504"/>
        <c:crosses val="autoZero"/>
        <c:crossBetween val="between"/>
      </c:valAx>
      <c:spPr>
        <a:solidFill>
          <a:srgbClr val="C0C0C0"/>
        </a:solidFill>
      </c:spPr>
    </c:plotArea>
    <c:legend>
      <c:legendPos val="l"/>
      <c:layout>
        <c:manualLayout>
          <c:xMode val="edge"/>
          <c:yMode val="edge"/>
          <c:x val="8.4477560139693281E-3"/>
          <c:y val="6.6176470588235295E-2"/>
        </c:manualLayout>
      </c:layout>
      <c:overlay val="0"/>
      <c:txPr>
        <a:bodyPr/>
        <a:lstStyle/>
        <a:p>
          <a:pPr lvl="0">
            <a:defRPr sz="700" b="0" i="0">
              <a:solidFill>
                <a:srgbClr val="000000"/>
              </a:solidFill>
              <a:latin typeface="Arial"/>
            </a:defRPr>
          </a:pPr>
          <a:endParaRPr lang="es-PE"/>
        </a:p>
      </c:txPr>
    </c:legend>
    <c:plotVisOnly val="0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1638744571" name="Chart 1">
          <a:extLst>
            <a:ext uri="{FF2B5EF4-FFF2-40B4-BE49-F238E27FC236}">
              <a16:creationId xmlns:a16="http://schemas.microsoft.com/office/drawing/2014/main" id="{00000000-0008-0000-0000-0000FB41AD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50470480" name="Chart 2">
          <a:extLst>
            <a:ext uri="{FF2B5EF4-FFF2-40B4-BE49-F238E27FC236}">
              <a16:creationId xmlns:a16="http://schemas.microsoft.com/office/drawing/2014/main" id="{00000000-0008-0000-0100-00005026B1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485775</xdr:colOff>
      <xdr:row>7</xdr:row>
      <xdr:rowOff>38100</xdr:rowOff>
    </xdr:from>
    <xdr:ext cx="10506075" cy="1228725"/>
    <xdr:graphicFrame macro="">
      <xdr:nvGraphicFramePr>
        <xdr:cNvPr id="830606068" name="Chart 3">
          <a:extLst>
            <a:ext uri="{FF2B5EF4-FFF2-40B4-BE49-F238E27FC236}">
              <a16:creationId xmlns:a16="http://schemas.microsoft.com/office/drawing/2014/main" id="{00000000-0008-0000-0200-0000F40A82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000"/>
  <sheetViews>
    <sheetView workbookViewId="0">
      <selection activeCell="H24" sqref="H24"/>
    </sheetView>
  </sheetViews>
  <sheetFormatPr baseColWidth="10" defaultColWidth="12.7109375" defaultRowHeight="15" customHeight="1" x14ac:dyDescent="0.2"/>
  <cols>
    <col min="1" max="1" width="3.28515625" customWidth="1"/>
    <col min="2" max="2" width="7" customWidth="1"/>
    <col min="3" max="3" width="79.42578125" customWidth="1"/>
    <col min="4" max="4" width="10.7109375" customWidth="1"/>
    <col min="5" max="5" width="13.7109375" customWidth="1"/>
    <col min="6" max="6" width="18" customWidth="1"/>
    <col min="7" max="7" width="11.140625" customWidth="1"/>
    <col min="8" max="32" width="4.285156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3" t="s">
        <v>1</v>
      </c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3" t="s">
        <v>3</v>
      </c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3" t="s">
        <v>5</v>
      </c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1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8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1'!TaskRows,1))</f>
        <v>29</v>
      </c>
      <c r="H17" s="24">
        <f ca="1">IF(AND(SUM(OFFSET(H21,1,0,'Sprint 1'!TaskRows,1))=0),0,SUM(OFFSET(H21,1,0,'Sprint 1'!TaskRows,1)))</f>
        <v>29</v>
      </c>
      <c r="I17" s="24">
        <f ca="1">IF(AND(SUM(OFFSET(I21,1,0,'Sprint 1'!TaskRows,1))=0),"",SUM(OFFSET(I21,1,0,'Sprint 1'!TaskRows,1)))</f>
        <v>22</v>
      </c>
      <c r="J17" s="24">
        <f ca="1">IF(AND(SUM(OFFSET(J21,1,0,'Sprint 1'!TaskRows,1))=0),"",SUM(OFFSET(J21,1,0,'Sprint 1'!TaskRows,1)))</f>
        <v>16</v>
      </c>
      <c r="K17" s="24">
        <f ca="1">IF(AND(SUM(OFFSET(K21,1,0,'Sprint 1'!TaskRows,1))=0),"",SUM(OFFSET(K21,1,0,'Sprint 1'!TaskRows,1)))</f>
        <v>10</v>
      </c>
      <c r="L17" s="24" t="str">
        <f ca="1">IF(AND(SUM(OFFSET(L21,1,0,'Sprint 1'!TaskRows,1))=0),"",SUM(OFFSET(L21,1,0,'Sprint 1'!TaskRows,1)))</f>
        <v/>
      </c>
      <c r="M17" s="24" t="str">
        <f ca="1">IF(AND(SUM(OFFSET(M21,1,0,'Sprint 1'!TaskRows,1))=0),"",SUM(OFFSET(M21,1,0,'Sprint 1'!TaskRows,1)))</f>
        <v/>
      </c>
      <c r="N17" s="24" t="str">
        <f ca="1">IF(AND(SUM(OFFSET(N21,1,0,'Sprint 1'!TaskRows,1))=0),"",SUM(OFFSET(N21,1,0,'Sprint 1'!TaskRows,1)))</f>
        <v/>
      </c>
      <c r="O17" s="24" t="str">
        <f ca="1">IF(AND(SUM(OFFSET(O21,1,0,'Sprint 1'!TaskRows,1))=0),"",SUM(OFFSET(O21,1,0,'Sprint 1'!TaskRows,1)))</f>
        <v/>
      </c>
      <c r="P17" s="24" t="str">
        <f ca="1">IF(AND(SUM(OFFSET(P21,1,0,'Sprint 1'!TaskRows,1))=0),"",SUM(OFFSET(P21,1,0,'Sprint 1'!TaskRows,1)))</f>
        <v/>
      </c>
      <c r="Q17" s="24" t="str">
        <f ca="1">IF(AND(SUM(OFFSET(Q21,1,0,'Sprint 1'!TaskRows,1))=0),"",SUM(OFFSET(Q21,1,0,'Sprint 1'!TaskRows,1)))</f>
        <v/>
      </c>
      <c r="R17" s="24" t="str">
        <f ca="1">IF(AND(SUM(OFFSET(R21,1,0,'Sprint 1'!TaskRows,1))=0),"",SUM(OFFSET(R21,1,0,'Sprint 1'!TaskRows,1)))</f>
        <v/>
      </c>
      <c r="S17" s="24" t="str">
        <f ca="1">IF(AND(SUM(OFFSET(S21,1,0,'Sprint 1'!TaskRows,1))=0),"",SUM(OFFSET(S21,1,0,'Sprint 1'!TaskRows,1)))</f>
        <v/>
      </c>
      <c r="T17" s="24" t="str">
        <f ca="1">IF(AND(SUM(OFFSET(T21,1,0,'Sprint 1'!TaskRows,1))=0),"",SUM(OFFSET(T21,1,0,'Sprint 1'!TaskRows,1)))</f>
        <v/>
      </c>
      <c r="U17" s="24" t="str">
        <f ca="1">IF(AND(SUM(OFFSET(U21,1,0,'Sprint 1'!TaskRows,1))=0),"",SUM(OFFSET(U21,1,0,'Sprint 1'!TaskRows,1)))</f>
        <v/>
      </c>
      <c r="V17" s="24" t="str">
        <f ca="1">IF(AND(SUM(OFFSET(V21,1,0,'Sprint 1'!TaskRows,1))=0),"",SUM(OFFSET(V21,1,0,'Sprint 1'!TaskRows,1)))</f>
        <v/>
      </c>
      <c r="W17" s="24" t="str">
        <f ca="1">IF(AND(SUM(OFFSET(W21,1,0,'Sprint 1'!TaskRows,1))=0),"",SUM(OFFSET(W21,1,0,'Sprint 1'!TaskRows,1)))</f>
        <v/>
      </c>
      <c r="X17" s="24" t="str">
        <f ca="1">IF(AND(SUM(OFFSET(X21,1,0,'Sprint 1'!TaskRows,1))=0),"",SUM(OFFSET(X21,1,0,'Sprint 1'!TaskRows,1)))</f>
        <v/>
      </c>
      <c r="Y17" s="24" t="str">
        <f ca="1">IF(AND(SUM(OFFSET(Y21,1,0,'Sprint 1'!TaskRows,1))=0),"",SUM(OFFSET(Y21,1,0,'Sprint 1'!TaskRows,1)))</f>
        <v/>
      </c>
      <c r="Z17" s="24" t="str">
        <f ca="1">IF(AND(SUM(OFFSET(Z21,1,0,'Sprint 1'!TaskRows,1))=0),"",SUM(OFFSET(Z21,1,0,'Sprint 1'!TaskRows,1)))</f>
        <v/>
      </c>
      <c r="AA17" s="24" t="str">
        <f ca="1">IF(AND(SUM(OFFSET(AA21,1,0,'Sprint 1'!TaskRows,1))=0),"",SUM(OFFSET(AA21,1,0,'Sprint 1'!TaskRows,1)))</f>
        <v/>
      </c>
      <c r="AB17" s="24" t="str">
        <f ca="1">IF(AND(SUM(OFFSET(AB21,1,0,'Sprint 1'!TaskRows,1))=0),"",SUM(OFFSET(AB21,1,0,'Sprint 1'!TaskRows,1)))</f>
        <v/>
      </c>
      <c r="AC17" s="24" t="str">
        <f ca="1">IF(AND(SUM(OFFSET(AC21,1,0,'Sprint 1'!TaskRows,1))=0),"",SUM(OFFSET(AC21,1,0,'Sprint 1'!TaskRows,1)))</f>
        <v/>
      </c>
      <c r="AD17" s="24" t="str">
        <f ca="1">IF(AND(SUM(OFFSET(AD21,1,0,'Sprint 1'!TaskRows,1))=0),"",SUM(OFFSET(AD21,1,0,'Sprint 1'!TaskRows,1)))</f>
        <v/>
      </c>
      <c r="AE17" s="24" t="str">
        <f ca="1">IF(AND(SUM(OFFSET(AE21,1,0,'Sprint 1'!TaskRows,1))=0),"",SUM(OFFSET(AE21,1,0,'Sprint 1'!TaskRows,1)))</f>
        <v/>
      </c>
      <c r="AF17" s="24" t="str">
        <f ca="1">IF(AND(SUM(OFFSET(AF21,1,0,'Sprint 1'!TaskRows,1))=0),"",SUM(OFFSET(AF21,1,0,'Sprint 1'!TaskRows,1)))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9</v>
      </c>
      <c r="E18" s="21" t="s">
        <v>13</v>
      </c>
      <c r="F18" s="1">
        <f ca="1">IF(COUNTIF(H17:AF17,"&gt;0")=0,1,COUNTIF(H17:AF17,"&gt;0"))</f>
        <v>4</v>
      </c>
      <c r="G18" s="1"/>
      <c r="H18" s="1">
        <f ca="1">IF(H21="","",$G17-$G17/($D16-1)*(H21-1))</f>
        <v>29</v>
      </c>
      <c r="I18" s="1">
        <f ca="1">IF(I21="","",'Sprint 1'!TotalEffort-'Sprint 1'!TotalEffort/('Sprint 1'!ImplementationDays)*(I21-1))</f>
        <v>25.375</v>
      </c>
      <c r="J18" s="1">
        <f ca="1">IF(J21="","",'Sprint 1'!TotalEffort-'Sprint 1'!TotalEffort/('Sprint 1'!ImplementationDays)*(J21-1))</f>
        <v>21.75</v>
      </c>
      <c r="K18" s="1">
        <f ca="1">IF(K21="","",'Sprint 1'!TotalEffort-'Sprint 1'!TotalEffort/('Sprint 1'!ImplementationDays)*(K21-1))</f>
        <v>18.125</v>
      </c>
      <c r="L18" s="1">
        <f ca="1">IF(L21="","",'Sprint 1'!TotalEffort-'Sprint 1'!TotalEffort/('Sprint 1'!ImplementationDays)*(L21-1))</f>
        <v>14.5</v>
      </c>
      <c r="M18" s="1">
        <f ca="1">IF(M21="","",'Sprint 1'!TotalEffort-'Sprint 1'!TotalEffort/('Sprint 1'!ImplementationDays)*(M21-1))</f>
        <v>10.875</v>
      </c>
      <c r="N18" s="1">
        <f ca="1">IF(N21="","",'Sprint 1'!TotalEffort-'Sprint 1'!TotalEffort/('Sprint 1'!ImplementationDays)*(N21-1))</f>
        <v>7.25</v>
      </c>
      <c r="O18" s="1">
        <f ca="1">IF(O21="","",'Sprint 1'!TotalEffort-'Sprint 1'!TotalEffort/('Sprint 1'!ImplementationDays)*(O21-1))</f>
        <v>3.625</v>
      </c>
      <c r="P18" s="1" t="str">
        <f>IF(P21="","",'Sprint 1'!TotalEffort-'Sprint 1'!TotalEffort/('Sprint 1'!ImplementationDays)*(P21-1))</f>
        <v/>
      </c>
      <c r="Q18" s="1" t="str">
        <f>IF(Q21="","",'Sprint 1'!TotalEffort-'Sprint 1'!TotalEffort/('Sprint 1'!ImplementationDays)*(Q21-1))</f>
        <v/>
      </c>
      <c r="R18" s="1" t="str">
        <f>IF(R21="","",'Sprint 1'!TotalEffort-'Sprint 1'!TotalEffort/('Sprint 1'!ImplementationDays)*(R21-1))</f>
        <v/>
      </c>
      <c r="S18" s="1" t="str">
        <f>IF(S21="","",'Sprint 1'!TotalEffort-'Sprint 1'!TotalEffort/('Sprint 1'!ImplementationDays)*(S21-1))</f>
        <v/>
      </c>
      <c r="T18" s="1" t="str">
        <f>IF(T21="","",'Sprint 1'!TotalEffort-'Sprint 1'!TotalEffort/('Sprint 1'!ImplementationDays)*(T21-1))</f>
        <v/>
      </c>
      <c r="U18" s="1" t="str">
        <f>IF(U21="","",'Sprint 1'!TotalEffort-'Sprint 1'!TotalEffort/('Sprint 1'!ImplementationDays)*(U21-1))</f>
        <v/>
      </c>
      <c r="V18" s="1" t="str">
        <f>IF(V21="","",'Sprint 1'!TotalEffort-'Sprint 1'!TotalEffort/('Sprint 1'!ImplementationDays)*(V21-1))</f>
        <v/>
      </c>
      <c r="W18" s="1" t="str">
        <f>IF(W21="","",'Sprint 1'!TotalEffort-'Sprint 1'!TotalEffort/('Sprint 1'!ImplementationDays)*(W21-1))</f>
        <v/>
      </c>
      <c r="X18" s="1" t="str">
        <f>IF(X21="","",'Sprint 1'!TotalEffort-'Sprint 1'!TotalEffort/('Sprint 1'!ImplementationDays)*(X21-1))</f>
        <v/>
      </c>
      <c r="Y18" s="1" t="str">
        <f>IF(Y21="","",'Sprint 1'!TotalEffort-'Sprint 1'!TotalEffort/('Sprint 1'!ImplementationDays)*(Y21-1))</f>
        <v/>
      </c>
      <c r="Z18" s="1" t="str">
        <f>IF(Z21="","",'Sprint 1'!TotalEffort-'Sprint 1'!TotalEffort/('Sprint 1'!ImplementationDays)*(Z21-1))</f>
        <v/>
      </c>
      <c r="AA18" s="1" t="str">
        <f>IF(AA21="","",'Sprint 1'!TotalEffort-'Sprint 1'!TotalEffort/('Sprint 1'!ImplementationDays)*(AA21-1))</f>
        <v/>
      </c>
      <c r="AB18" s="1" t="str">
        <f>IF(AB21="","",'Sprint 1'!TotalEffort-'Sprint 1'!TotalEffort/('Sprint 1'!ImplementationDays)*(AB21-1))</f>
        <v/>
      </c>
      <c r="AC18" s="1" t="str">
        <f>IF(AC21="","",'Sprint 1'!TotalEffort-'Sprint 1'!TotalEffort/('Sprint 1'!ImplementationDays)*(AC21-1))</f>
        <v/>
      </c>
      <c r="AD18" s="1" t="str">
        <f>IF(AD21="","",'Sprint 1'!TotalEffort-'Sprint 1'!TotalEffort/('Sprint 1'!ImplementationDays)*(AD21-1))</f>
        <v/>
      </c>
      <c r="AE18" s="1" t="str">
        <f>IF(AE21="","",'Sprint 1'!TotalEffort-'Sprint 1'!TotalEffort/('Sprint 1'!ImplementationDays)*(AE21-1))</f>
        <v/>
      </c>
      <c r="AF18" s="1" t="str">
        <f>IF(AF21="","",'Sprint 1'!TotalEffort-'Sprint 1'!TotalEffort/('Sprint 1'!ImplementationDays)*(AF21-1))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1'!DoneDays-'Sprint 1'!TrendDays,1,'Sprint 1'!TrendDays),OFFSET($H20,0,'Sprint 1'!DoneDays-'Sprint 1'!TrendDays,1,'Sprint 1'!TrendDays),H20)&lt;0,"",TREND(OFFSET($H17,0,'Sprint 1'!DoneDays-'Sprint 1'!TrendDays,1,'Sprint 1'!TrendDays),OFFSET($H20,0,'Sprint 1'!DoneDays-'Sprint 1'!TrendDays,1,'Sprint 1'!TrendDays),H20))</f>
        <v>28.7</v>
      </c>
      <c r="I19" s="1">
        <f t="array" aca="1" ref="I19" ca="1">IF(TREND(OFFSET($H17,0,'Sprint 1'!DoneDays-'Sprint 1'!TrendDays,1,'Sprint 1'!TrendDays),OFFSET($H20,0,'Sprint 1'!DoneDays-'Sprint 1'!TrendDays,1,'Sprint 1'!TrendDays),I20)&lt;0,"",TREND(OFFSET($H17,0,'Sprint 1'!DoneDays-'Sprint 1'!TrendDays,1,'Sprint 1'!TrendDays),OFFSET($H20,0,'Sprint 1'!DoneDays-'Sprint 1'!TrendDays,1,'Sprint 1'!TrendDays),I20))</f>
        <v>22.4</v>
      </c>
      <c r="J19" s="1">
        <f t="array" aca="1" ref="J19" ca="1">IF(TREND(OFFSET($H17,0,'Sprint 1'!DoneDays-'Sprint 1'!TrendDays,1,'Sprint 1'!TrendDays),OFFSET($H20,0,'Sprint 1'!DoneDays-'Sprint 1'!TrendDays,1,'Sprint 1'!TrendDays),J20)&lt;0,"",TREND(OFFSET($H17,0,'Sprint 1'!DoneDays-'Sprint 1'!TrendDays,1,'Sprint 1'!TrendDays),OFFSET($H20,0,'Sprint 1'!DoneDays-'Sprint 1'!TrendDays,1,'Sprint 1'!TrendDays),J20))</f>
        <v>16.099999999999998</v>
      </c>
      <c r="K19" s="1">
        <f t="array" aca="1" ref="K19" ca="1">IF(TREND(OFFSET($H17,0,'Sprint 1'!DoneDays-'Sprint 1'!TrendDays,1,'Sprint 1'!TrendDays),OFFSET($H20,0,'Sprint 1'!DoneDays-'Sprint 1'!TrendDays,1,'Sprint 1'!TrendDays),K20)&lt;0,"",TREND(OFFSET($H17,0,'Sprint 1'!DoneDays-'Sprint 1'!TrendDays,1,'Sprint 1'!TrendDays),OFFSET($H20,0,'Sprint 1'!DoneDays-'Sprint 1'!TrendDays,1,'Sprint 1'!TrendDays),K20))</f>
        <v>9.7999999999999972</v>
      </c>
      <c r="L19" s="1">
        <f t="array" aca="1" ref="L19" ca="1">IF(TREND(OFFSET($H17,0,'Sprint 1'!DoneDays-'Sprint 1'!TrendDays,1,'Sprint 1'!TrendDays),OFFSET($H20,0,'Sprint 1'!DoneDays-'Sprint 1'!TrendDays,1,'Sprint 1'!TrendDays),L20)&lt;0,"",TREND(OFFSET($H17,0,'Sprint 1'!DoneDays-'Sprint 1'!TrendDays,1,'Sprint 1'!TrendDays),OFFSET($H20,0,'Sprint 1'!DoneDays-'Sprint 1'!TrendDays,1,'Sprint 1'!TrendDays),L20))</f>
        <v>3.4999999999999964</v>
      </c>
      <c r="M19" s="1" t="str">
        <f t="array" aca="1" ref="M19" ca="1">IF(TREND(OFFSET($H17,0,'Sprint 1'!DoneDays-'Sprint 1'!TrendDays,1,'Sprint 1'!TrendDays),OFFSET($H20,0,'Sprint 1'!DoneDays-'Sprint 1'!TrendDays,1,'Sprint 1'!TrendDays),M20)&lt;0,"",TREND(OFFSET($H17,0,'Sprint 1'!DoneDays-'Sprint 1'!TrendDays,1,'Sprint 1'!TrendDays),OFFSET($H20,0,'Sprint 1'!DoneDays-'Sprint 1'!TrendDays,1,'Sprint 1'!TrendDays),M20))</f>
        <v/>
      </c>
      <c r="N19" s="1" t="str">
        <f t="array" aca="1" ref="N19" ca="1">IF(TREND(OFFSET($H17,0,'Sprint 1'!DoneDays-'Sprint 1'!TrendDays,1,'Sprint 1'!TrendDays),OFFSET($H20,0,'Sprint 1'!DoneDays-'Sprint 1'!TrendDays,1,'Sprint 1'!TrendDays),N20)&lt;0,"",TREND(OFFSET($H17,0,'Sprint 1'!DoneDays-'Sprint 1'!TrendDays,1,'Sprint 1'!TrendDays),OFFSET($H20,0,'Sprint 1'!DoneDays-'Sprint 1'!TrendDays,1,'Sprint 1'!TrendDays),N20))</f>
        <v/>
      </c>
      <c r="O19" s="1" t="str">
        <f t="array" aca="1" ref="O19" ca="1">IF(TREND(OFFSET($H17,0,'Sprint 1'!DoneDays-'Sprint 1'!TrendDays,1,'Sprint 1'!TrendDays),OFFSET($H20,0,'Sprint 1'!DoneDays-'Sprint 1'!TrendDays,1,'Sprint 1'!TrendDays),O20)&lt;0,"",TREND(OFFSET($H17,0,'Sprint 1'!DoneDays-'Sprint 1'!TrendDays,1,'Sprint 1'!TrendDays),OFFSET($H20,0,'Sprint 1'!DoneDays-'Sprint 1'!TrendDays,1,'Sprint 1'!TrendDays),O20))</f>
        <v/>
      </c>
      <c r="P19" s="1" t="str">
        <f t="array" aca="1" ref="P19" ca="1">IF(TREND(OFFSET($H17,0,'Sprint 1'!DoneDays-'Sprint 1'!TrendDays,1,'Sprint 1'!TrendDays),OFFSET($H20,0,'Sprint 1'!DoneDays-'Sprint 1'!TrendDays,1,'Sprint 1'!TrendDays),P20)&lt;0,"",TREND(OFFSET($H17,0,'Sprint 1'!DoneDays-'Sprint 1'!TrendDays,1,'Sprint 1'!TrendDays),OFFSET($H20,0,'Sprint 1'!DoneDays-'Sprint 1'!TrendDays,1,'Sprint 1'!TrendDays),P20))</f>
        <v/>
      </c>
      <c r="Q19" s="1" t="str">
        <f t="array" aca="1" ref="Q19" ca="1">IF(TREND(OFFSET($H17,0,'Sprint 1'!DoneDays-'Sprint 1'!TrendDays,1,'Sprint 1'!TrendDays),OFFSET($H20,0,'Sprint 1'!DoneDays-'Sprint 1'!TrendDays,1,'Sprint 1'!TrendDays),Q20)&lt;0,"",TREND(OFFSET($H17,0,'Sprint 1'!DoneDays-'Sprint 1'!TrendDays,1,'Sprint 1'!TrendDays),OFFSET($H20,0,'Sprint 1'!DoneDays-'Sprint 1'!TrendDays,1,'Sprint 1'!TrendDays),Q20))</f>
        <v/>
      </c>
      <c r="R19" s="1" t="str">
        <f t="array" aca="1" ref="R19" ca="1">IF(TREND(OFFSET($H17,0,'Sprint 1'!DoneDays-'Sprint 1'!TrendDays,1,'Sprint 1'!TrendDays),OFFSET($H20,0,'Sprint 1'!DoneDays-'Sprint 1'!TrendDays,1,'Sprint 1'!TrendDays),R20)&lt;0,"",TREND(OFFSET($H17,0,'Sprint 1'!DoneDays-'Sprint 1'!TrendDays,1,'Sprint 1'!TrendDays),OFFSET($H20,0,'Sprint 1'!DoneDays-'Sprint 1'!TrendDays,1,'Sprint 1'!TrendDays),R20))</f>
        <v/>
      </c>
      <c r="S19" s="1" t="str">
        <f t="array" aca="1" ref="S19" ca="1">IF(TREND(OFFSET($H17,0,'Sprint 1'!DoneDays-'Sprint 1'!TrendDays,1,'Sprint 1'!TrendDays),OFFSET($H20,0,'Sprint 1'!DoneDays-'Sprint 1'!TrendDays,1,'Sprint 1'!TrendDays),S20)&lt;0,"",TREND(OFFSET($H17,0,'Sprint 1'!DoneDays-'Sprint 1'!TrendDays,1,'Sprint 1'!TrendDays),OFFSET($H20,0,'Sprint 1'!DoneDays-'Sprint 1'!TrendDays,1,'Sprint 1'!TrendDays),S20))</f>
        <v/>
      </c>
      <c r="T19" s="1" t="str">
        <f t="array" aca="1" ref="T19" ca="1">IF(TREND(OFFSET($H17,0,'Sprint 1'!DoneDays-'Sprint 1'!TrendDays,1,'Sprint 1'!TrendDays),OFFSET($H20,0,'Sprint 1'!DoneDays-'Sprint 1'!TrendDays,1,'Sprint 1'!TrendDays),T20)&lt;0,"",TREND(OFFSET($H17,0,'Sprint 1'!DoneDays-'Sprint 1'!TrendDays,1,'Sprint 1'!TrendDays),OFFSET($H20,0,'Sprint 1'!DoneDays-'Sprint 1'!TrendDays,1,'Sprint 1'!TrendDays),T20))</f>
        <v/>
      </c>
      <c r="U19" s="1" t="str">
        <f t="array" aca="1" ref="U19" ca="1">IF(TREND(OFFSET($H17,0,'Sprint 1'!DoneDays-'Sprint 1'!TrendDays,1,'Sprint 1'!TrendDays),OFFSET($H20,0,'Sprint 1'!DoneDays-'Sprint 1'!TrendDays,1,'Sprint 1'!TrendDays),U20)&lt;0,"",TREND(OFFSET($H17,0,'Sprint 1'!DoneDays-'Sprint 1'!TrendDays,1,'Sprint 1'!TrendDays),OFFSET($H20,0,'Sprint 1'!DoneDays-'Sprint 1'!TrendDays,1,'Sprint 1'!TrendDays),U20))</f>
        <v/>
      </c>
      <c r="V19" s="1" t="str">
        <f t="array" aca="1" ref="V19" ca="1">IF(TREND(OFFSET($H17,0,'Sprint 1'!DoneDays-'Sprint 1'!TrendDays,1,'Sprint 1'!TrendDays),OFFSET($H20,0,'Sprint 1'!DoneDays-'Sprint 1'!TrendDays,1,'Sprint 1'!TrendDays),V20)&lt;0,"",TREND(OFFSET($H17,0,'Sprint 1'!DoneDays-'Sprint 1'!TrendDays,1,'Sprint 1'!TrendDays),OFFSET($H20,0,'Sprint 1'!DoneDays-'Sprint 1'!TrendDays,1,'Sprint 1'!TrendDays),V20))</f>
        <v/>
      </c>
      <c r="W19" s="1" t="str">
        <f t="array" aca="1" ref="W19" ca="1">IF(TREND(OFFSET($H17,0,'Sprint 1'!DoneDays-'Sprint 1'!TrendDays,1,'Sprint 1'!TrendDays),OFFSET($H20,0,'Sprint 1'!DoneDays-'Sprint 1'!TrendDays,1,'Sprint 1'!TrendDays),W20)&lt;0,"",TREND(OFFSET($H17,0,'Sprint 1'!DoneDays-'Sprint 1'!TrendDays,1,'Sprint 1'!TrendDays),OFFSET($H20,0,'Sprint 1'!DoneDays-'Sprint 1'!TrendDays,1,'Sprint 1'!TrendDays),W20))</f>
        <v/>
      </c>
      <c r="X19" s="1" t="str">
        <f t="array" aca="1" ref="X19" ca="1">IF(TREND(OFFSET($H17,0,'Sprint 1'!DoneDays-'Sprint 1'!TrendDays,1,'Sprint 1'!TrendDays),OFFSET($H20,0,'Sprint 1'!DoneDays-'Sprint 1'!TrendDays,1,'Sprint 1'!TrendDays),X20)&lt;0,"",TREND(OFFSET($H17,0,'Sprint 1'!DoneDays-'Sprint 1'!TrendDays,1,'Sprint 1'!TrendDays),OFFSET($H20,0,'Sprint 1'!DoneDays-'Sprint 1'!TrendDays,1,'Sprint 1'!TrendDays),X20))</f>
        <v/>
      </c>
      <c r="Y19" s="1" t="str">
        <f t="array" aca="1" ref="Y19" ca="1">IF(TREND(OFFSET($H17,0,'Sprint 1'!DoneDays-'Sprint 1'!TrendDays,1,'Sprint 1'!TrendDays),OFFSET($H20,0,'Sprint 1'!DoneDays-'Sprint 1'!TrendDays,1,'Sprint 1'!TrendDays),Y20)&lt;0,"",TREND(OFFSET($H17,0,'Sprint 1'!DoneDays-'Sprint 1'!TrendDays,1,'Sprint 1'!TrendDays),OFFSET($H20,0,'Sprint 1'!DoneDays-'Sprint 1'!TrendDays,1,'Sprint 1'!TrendDays),Y20))</f>
        <v/>
      </c>
      <c r="Z19" s="1" t="str">
        <f t="array" aca="1" ref="Z19" ca="1">IF(TREND(OFFSET($H17,0,'Sprint 1'!DoneDays-'Sprint 1'!TrendDays,1,'Sprint 1'!TrendDays),OFFSET($H20,0,'Sprint 1'!DoneDays-'Sprint 1'!TrendDays,1,'Sprint 1'!TrendDays),Z20)&lt;0,"",TREND(OFFSET($H17,0,'Sprint 1'!DoneDays-'Sprint 1'!TrendDays,1,'Sprint 1'!TrendDays),OFFSET($H20,0,'Sprint 1'!DoneDays-'Sprint 1'!TrendDays,1,'Sprint 1'!TrendDays),Z20))</f>
        <v/>
      </c>
      <c r="AA19" s="1" t="str">
        <f t="array" aca="1" ref="AA19" ca="1">IF(TREND(OFFSET($H17,0,'Sprint 1'!DoneDays-'Sprint 1'!TrendDays,1,'Sprint 1'!TrendDays),OFFSET($H20,0,'Sprint 1'!DoneDays-'Sprint 1'!TrendDays,1,'Sprint 1'!TrendDays),AA20)&lt;0,"",TREND(OFFSET($H17,0,'Sprint 1'!DoneDays-'Sprint 1'!TrendDays,1,'Sprint 1'!TrendDays),OFFSET($H20,0,'Sprint 1'!DoneDays-'Sprint 1'!TrendDays,1,'Sprint 1'!TrendDays),AA20))</f>
        <v/>
      </c>
      <c r="AB19" s="1" t="str">
        <f t="array" aca="1" ref="AB19" ca="1">IF(TREND(OFFSET($H17,0,'Sprint 1'!DoneDays-'Sprint 1'!TrendDays,1,'Sprint 1'!TrendDays),OFFSET($H20,0,'Sprint 1'!DoneDays-'Sprint 1'!TrendDays,1,'Sprint 1'!TrendDays),AB20)&lt;0,"",TREND(OFFSET($H17,0,'Sprint 1'!DoneDays-'Sprint 1'!TrendDays,1,'Sprint 1'!TrendDays),OFFSET($H20,0,'Sprint 1'!DoneDays-'Sprint 1'!TrendDays,1,'Sprint 1'!TrendDays),AB20))</f>
        <v/>
      </c>
      <c r="AC19" s="1" t="str">
        <f t="array" aca="1" ref="AC19" ca="1">IF(TREND(OFFSET($H17,0,'Sprint 1'!DoneDays-'Sprint 1'!TrendDays,1,'Sprint 1'!TrendDays),OFFSET($H20,0,'Sprint 1'!DoneDays-'Sprint 1'!TrendDays,1,'Sprint 1'!TrendDays),AC20)&lt;0,"",TREND(OFFSET($H17,0,'Sprint 1'!DoneDays-'Sprint 1'!TrendDays,1,'Sprint 1'!TrendDays),OFFSET($H20,0,'Sprint 1'!DoneDays-'Sprint 1'!TrendDays,1,'Sprint 1'!TrendDays),AC20))</f>
        <v/>
      </c>
      <c r="AD19" s="1" t="str">
        <f t="array" aca="1" ref="AD19" ca="1">IF(TREND(OFFSET($H17,0,'Sprint 1'!DoneDays-'Sprint 1'!TrendDays,1,'Sprint 1'!TrendDays),OFFSET($H20,0,'Sprint 1'!DoneDays-'Sprint 1'!TrendDays,1,'Sprint 1'!TrendDays),AD20)&lt;0,"",TREND(OFFSET($H17,0,'Sprint 1'!DoneDays-'Sprint 1'!TrendDays,1,'Sprint 1'!TrendDays),OFFSET($H20,0,'Sprint 1'!DoneDays-'Sprint 1'!TrendDays,1,'Sprint 1'!TrendDays),AD20))</f>
        <v/>
      </c>
      <c r="AE19" s="1" t="str">
        <f t="array" aca="1" ref="AE19" ca="1">IF(TREND(OFFSET($H17,0,'Sprint 1'!DoneDays-'Sprint 1'!TrendDays,1,'Sprint 1'!TrendDays),OFFSET($H20,0,'Sprint 1'!DoneDays-'Sprint 1'!TrendDays,1,'Sprint 1'!TrendDays),AE20)&lt;0,"",TREND(OFFSET($H17,0,'Sprint 1'!DoneDays-'Sprint 1'!TrendDays,1,'Sprint 1'!TrendDays),OFFSET($H20,0,'Sprint 1'!DoneDays-'Sprint 1'!TrendDays,1,'Sprint 1'!TrendDays),AE20))</f>
        <v/>
      </c>
      <c r="AF19" s="1" t="str">
        <f t="array" aca="1" ref="AF19" ca="1">IF(TREND(OFFSET($H17,0,'Sprint 1'!DoneDays-'Sprint 1'!TrendDays,1,'Sprint 1'!TrendDays),OFFSET($H20,0,'Sprint 1'!DoneDays-'Sprint 1'!TrendDays,1,'Sprint 1'!TrendDays),AF20)&lt;0,"",TREND(OFFSET($H17,0,'Sprint 1'!DoneDays-'Sprint 1'!TrendDays,1,'Sprint 1'!TrendDays),OFFSET($H20,0,'Sprint 1'!DoneDays-'Sprint 1'!TrendDays,1,'Sprint 1'!TrendDays),AF20))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1'!DoneDays&gt;D17,D17,'Sprint 1'!DoneDays)</f>
        <v>4</v>
      </c>
      <c r="G20" s="1"/>
      <c r="H20" s="1">
        <f ca="1">IF('Sprint 1'!DoneDays&gt;G20,G20+1,"")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5">
      <c r="B22" s="21">
        <v>1.1000000000000001</v>
      </c>
      <c r="C22" s="27" t="s">
        <v>24</v>
      </c>
      <c r="D22" s="1" t="s">
        <v>25</v>
      </c>
      <c r="E22" s="21" t="s">
        <v>26</v>
      </c>
      <c r="F22" s="21" t="s">
        <v>43</v>
      </c>
      <c r="G22" s="28">
        <v>4</v>
      </c>
      <c r="H22" s="28">
        <v>4</v>
      </c>
      <c r="I22" s="28">
        <v>3</v>
      </c>
      <c r="J22" s="28">
        <v>2</v>
      </c>
      <c r="K22" s="28">
        <v>1</v>
      </c>
      <c r="L22" s="28">
        <v>0</v>
      </c>
      <c r="M22" s="29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1">IF(OR(AE$21="",$G22=""),"",AD22)</f>
        <v/>
      </c>
      <c r="AF22" s="1" t="str">
        <f t="shared" si="1"/>
        <v/>
      </c>
    </row>
    <row r="23" spans="2:32" ht="12.75" customHeight="1" x14ac:dyDescent="0.25">
      <c r="B23" s="21">
        <v>1.2</v>
      </c>
      <c r="C23" s="27" t="s">
        <v>27</v>
      </c>
      <c r="D23" s="1" t="s">
        <v>25</v>
      </c>
      <c r="E23" s="21" t="s">
        <v>26</v>
      </c>
      <c r="F23" s="21" t="s">
        <v>43</v>
      </c>
      <c r="G23" s="28">
        <v>3</v>
      </c>
      <c r="H23" s="28">
        <v>3</v>
      </c>
      <c r="I23" s="28">
        <v>2</v>
      </c>
      <c r="J23" s="28">
        <v>2</v>
      </c>
      <c r="K23" s="28">
        <v>1</v>
      </c>
      <c r="L23" s="28">
        <v>0</v>
      </c>
      <c r="M23" s="29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2">IF(OR(AE$21="",$G23=""),"",AD23)</f>
        <v/>
      </c>
      <c r="AF23" s="1" t="str">
        <f t="shared" si="2"/>
        <v/>
      </c>
    </row>
    <row r="24" spans="2:32" ht="12.75" customHeight="1" x14ac:dyDescent="0.25">
      <c r="B24" s="21">
        <v>1.3</v>
      </c>
      <c r="C24" s="27" t="s">
        <v>28</v>
      </c>
      <c r="D24" s="1" t="s">
        <v>25</v>
      </c>
      <c r="E24" s="21" t="s">
        <v>26</v>
      </c>
      <c r="F24" s="21" t="s">
        <v>43</v>
      </c>
      <c r="G24" s="28">
        <v>3</v>
      </c>
      <c r="H24" s="28">
        <v>3</v>
      </c>
      <c r="I24" s="28">
        <v>2</v>
      </c>
      <c r="J24" s="28">
        <v>1</v>
      </c>
      <c r="K24" s="28">
        <v>1</v>
      </c>
      <c r="L24" s="28">
        <v>0</v>
      </c>
      <c r="M24" s="29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3">IF(OR(AE$21="",$G24=""),"",AD24)</f>
        <v/>
      </c>
      <c r="AF24" s="1" t="str">
        <f t="shared" si="3"/>
        <v/>
      </c>
    </row>
    <row r="25" spans="2:32" ht="12.75" customHeight="1" x14ac:dyDescent="0.25">
      <c r="B25" s="21">
        <v>1.4</v>
      </c>
      <c r="C25" s="27" t="s">
        <v>29</v>
      </c>
      <c r="D25" s="1" t="s">
        <v>25</v>
      </c>
      <c r="E25" s="21" t="s">
        <v>30</v>
      </c>
      <c r="F25" s="21" t="s">
        <v>43</v>
      </c>
      <c r="G25" s="28">
        <v>3</v>
      </c>
      <c r="H25" s="28">
        <v>3</v>
      </c>
      <c r="I25" s="28">
        <v>3</v>
      </c>
      <c r="J25" s="28">
        <v>2</v>
      </c>
      <c r="K25" s="28">
        <v>1</v>
      </c>
      <c r="L25" s="28">
        <v>0</v>
      </c>
      <c r="M25" s="29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4">IF(OR(AE$21="",$G25=""),"",AD25)</f>
        <v/>
      </c>
      <c r="AF25" s="1" t="str">
        <f t="shared" si="4"/>
        <v/>
      </c>
    </row>
    <row r="26" spans="2:32" ht="12.75" customHeight="1" x14ac:dyDescent="0.25">
      <c r="B26" s="21">
        <v>2.1</v>
      </c>
      <c r="C26" s="27" t="s">
        <v>31</v>
      </c>
      <c r="D26" s="1" t="s">
        <v>32</v>
      </c>
      <c r="E26" s="21" t="s">
        <v>30</v>
      </c>
      <c r="F26" s="21" t="s">
        <v>43</v>
      </c>
      <c r="G26" s="28">
        <v>5</v>
      </c>
      <c r="H26" s="28">
        <v>5</v>
      </c>
      <c r="I26" s="28">
        <v>4</v>
      </c>
      <c r="J26" s="28">
        <v>3</v>
      </c>
      <c r="K26" s="28">
        <v>2</v>
      </c>
      <c r="L26" s="28">
        <v>0</v>
      </c>
      <c r="M26" s="29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5">IF(OR(AE$21="",$G26=""),"",AD26)</f>
        <v/>
      </c>
      <c r="AF26" s="1" t="str">
        <f t="shared" si="5"/>
        <v/>
      </c>
    </row>
    <row r="27" spans="2:32" ht="12.75" customHeight="1" x14ac:dyDescent="0.25">
      <c r="B27" s="21">
        <v>2.2000000000000002</v>
      </c>
      <c r="C27" s="27" t="s">
        <v>33</v>
      </c>
      <c r="D27" s="1" t="s">
        <v>32</v>
      </c>
      <c r="E27" s="21" t="s">
        <v>30</v>
      </c>
      <c r="F27" s="21" t="s">
        <v>43</v>
      </c>
      <c r="G27" s="28">
        <v>3</v>
      </c>
      <c r="H27" s="28">
        <v>3</v>
      </c>
      <c r="I27" s="28">
        <v>2</v>
      </c>
      <c r="J27" s="28">
        <v>2</v>
      </c>
      <c r="K27" s="28">
        <v>1</v>
      </c>
      <c r="L27" s="28">
        <v>0</v>
      </c>
      <c r="M27" s="29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6">IF(OR(AE$21="",$G27=""),"",AD27)</f>
        <v/>
      </c>
      <c r="AF27" s="1" t="str">
        <f t="shared" si="6"/>
        <v/>
      </c>
    </row>
    <row r="28" spans="2:32" ht="12.75" customHeight="1" x14ac:dyDescent="0.25">
      <c r="B28" s="21">
        <v>3.1</v>
      </c>
      <c r="C28" s="27" t="s">
        <v>34</v>
      </c>
      <c r="D28" s="1" t="s">
        <v>35</v>
      </c>
      <c r="E28" s="21" t="s">
        <v>36</v>
      </c>
      <c r="F28" s="21" t="s">
        <v>43</v>
      </c>
      <c r="G28" s="28">
        <v>3</v>
      </c>
      <c r="H28" s="28">
        <v>3</v>
      </c>
      <c r="I28" s="28">
        <v>2</v>
      </c>
      <c r="J28" s="28">
        <v>2</v>
      </c>
      <c r="K28" s="28">
        <v>1</v>
      </c>
      <c r="L28" s="28">
        <v>0</v>
      </c>
      <c r="M28" s="29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7">IF(OR(AE$21="",$G28=""),"",AD28)</f>
        <v/>
      </c>
      <c r="AF28" s="1" t="str">
        <f t="shared" si="7"/>
        <v/>
      </c>
    </row>
    <row r="29" spans="2:32" ht="12.75" customHeight="1" x14ac:dyDescent="0.25">
      <c r="B29" s="21">
        <v>3.2</v>
      </c>
      <c r="C29" s="27" t="s">
        <v>38</v>
      </c>
      <c r="D29" s="1" t="s">
        <v>35</v>
      </c>
      <c r="E29" s="21" t="s">
        <v>36</v>
      </c>
      <c r="F29" s="21" t="s">
        <v>43</v>
      </c>
      <c r="G29" s="28">
        <v>3</v>
      </c>
      <c r="H29" s="28">
        <v>3</v>
      </c>
      <c r="I29" s="28">
        <v>2</v>
      </c>
      <c r="J29" s="28">
        <v>1</v>
      </c>
      <c r="K29" s="28">
        <v>1</v>
      </c>
      <c r="L29" s="28">
        <v>0</v>
      </c>
      <c r="M29" s="29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8">IF(OR(AE$21="",$G29=""),"",AD29)</f>
        <v/>
      </c>
      <c r="AF29" s="1" t="str">
        <f t="shared" si="8"/>
        <v/>
      </c>
    </row>
    <row r="30" spans="2:32" ht="12.75" customHeight="1" x14ac:dyDescent="0.25">
      <c r="B30" s="21">
        <v>3.3</v>
      </c>
      <c r="C30" s="27" t="s">
        <v>39</v>
      </c>
      <c r="D30" s="1" t="s">
        <v>35</v>
      </c>
      <c r="E30" s="21" t="s">
        <v>36</v>
      </c>
      <c r="F30" s="21" t="s">
        <v>43</v>
      </c>
      <c r="G30" s="28">
        <v>2</v>
      </c>
      <c r="H30" s="28">
        <v>2</v>
      </c>
      <c r="I30" s="28">
        <v>2</v>
      </c>
      <c r="J30" s="28">
        <v>1</v>
      </c>
      <c r="K30" s="28">
        <v>1</v>
      </c>
      <c r="L30" s="28">
        <v>0</v>
      </c>
      <c r="M30" s="29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9">IF(OR(AE$21="",$G30=""),"",AD30)</f>
        <v/>
      </c>
      <c r="AF30" s="1" t="str">
        <f t="shared" si="9"/>
        <v/>
      </c>
    </row>
    <row r="31" spans="2:32" ht="12.75" customHeight="1" x14ac:dyDescent="0.2">
      <c r="D31" s="1"/>
      <c r="F31" s="21" t="str">
        <f t="shared" ref="F31:F63" si="10">IF(C31&lt;&gt;"","Planned","")</f>
        <v/>
      </c>
      <c r="G31" s="1"/>
      <c r="H31" s="1" t="str">
        <f t="shared" ref="H31:H66" si="11">IF(OR(H$21="",$G31=""),"",G31)</f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0"/>
        <v/>
      </c>
      <c r="G32" s="1"/>
      <c r="H32" s="1" t="str">
        <f t="shared" si="11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0"/>
        <v/>
      </c>
      <c r="G33" s="1"/>
      <c r="H33" s="1" t="str">
        <f t="shared" si="11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0"/>
        <v/>
      </c>
      <c r="G34" s="1"/>
      <c r="H34" s="1" t="str">
        <f t="shared" si="11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0"/>
        <v/>
      </c>
      <c r="G35" s="1"/>
      <c r="H35" s="1" t="str">
        <f t="shared" si="11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0"/>
        <v/>
      </c>
      <c r="G36" s="1"/>
      <c r="H36" s="1" t="str">
        <f t="shared" si="11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0"/>
        <v/>
      </c>
      <c r="G37" s="1"/>
      <c r="H37" s="1" t="str">
        <f t="shared" si="1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0"/>
        <v/>
      </c>
      <c r="G38" s="1"/>
      <c r="H38" s="1" t="str">
        <f t="shared" si="1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0"/>
        <v/>
      </c>
      <c r="G39" s="1"/>
      <c r="H39" s="1" t="str">
        <f t="shared" si="1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0"/>
        <v/>
      </c>
      <c r="G40" s="1"/>
      <c r="H40" s="1" t="str">
        <f t="shared" si="1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0"/>
        <v/>
      </c>
      <c r="G41" s="1"/>
      <c r="H41" s="1" t="str">
        <f t="shared" si="1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0"/>
        <v/>
      </c>
      <c r="G42" s="1"/>
      <c r="H42" s="1" t="str">
        <f t="shared" si="1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0"/>
        <v/>
      </c>
      <c r="G43" s="1"/>
      <c r="H43" s="1" t="str">
        <f t="shared" si="1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0"/>
        <v/>
      </c>
      <c r="G44" s="1"/>
      <c r="H44" s="1" t="str">
        <f t="shared" si="1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0"/>
        <v/>
      </c>
      <c r="G45" s="1"/>
      <c r="H45" s="1" t="str">
        <f t="shared" si="1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0"/>
        <v/>
      </c>
      <c r="G46" s="1"/>
      <c r="H46" s="1" t="str">
        <f t="shared" si="1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0"/>
        <v/>
      </c>
      <c r="G47" s="1"/>
      <c r="H47" s="1" t="str">
        <f t="shared" si="1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0"/>
        <v/>
      </c>
      <c r="G48" s="1"/>
      <c r="H48" s="1" t="str">
        <f t="shared" si="1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0"/>
        <v/>
      </c>
      <c r="G49" s="1"/>
      <c r="H49" s="1" t="str">
        <f t="shared" si="1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0"/>
        <v/>
      </c>
      <c r="G50" s="1"/>
      <c r="H50" s="1" t="str">
        <f t="shared" si="1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0"/>
        <v/>
      </c>
      <c r="G51" s="1"/>
      <c r="H51" s="1" t="str">
        <f t="shared" si="1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0"/>
        <v/>
      </c>
      <c r="G52" s="1"/>
      <c r="H52" s="1" t="str">
        <f t="shared" si="1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0"/>
        <v/>
      </c>
      <c r="G53" s="1"/>
      <c r="H53" s="1" t="str">
        <f t="shared" si="1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0"/>
        <v/>
      </c>
      <c r="G54" s="1"/>
      <c r="H54" s="1" t="str">
        <f t="shared" si="1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0"/>
        <v/>
      </c>
      <c r="G55" s="1"/>
      <c r="H55" s="1" t="str">
        <f t="shared" si="1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0"/>
        <v/>
      </c>
      <c r="G56" s="1"/>
      <c r="H56" s="1" t="str">
        <f t="shared" si="1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0"/>
        <v/>
      </c>
      <c r="G57" s="1"/>
      <c r="H57" s="1" t="str">
        <f t="shared" si="1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0"/>
        <v/>
      </c>
      <c r="G58" s="1"/>
      <c r="H58" s="1" t="str">
        <f t="shared" si="1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0"/>
        <v/>
      </c>
      <c r="G59" s="1"/>
      <c r="H59" s="1" t="str">
        <f t="shared" si="1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0"/>
        <v/>
      </c>
      <c r="G60" s="1"/>
      <c r="H60" s="1" t="str">
        <f t="shared" si="1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0"/>
        <v/>
      </c>
      <c r="G61" s="1"/>
      <c r="H61" s="1" t="str">
        <f t="shared" si="1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0"/>
        <v/>
      </c>
      <c r="G62" s="1"/>
      <c r="H62" s="1" t="str">
        <f t="shared" si="1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0"/>
        <v/>
      </c>
      <c r="G63" s="1"/>
      <c r="H63" s="1" t="str">
        <f t="shared" si="1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1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4:32" ht="12.75" customHeight="1" x14ac:dyDescent="0.2">
      <c r="D65" s="1"/>
      <c r="F65" s="21" t="s">
        <v>41</v>
      </c>
      <c r="G65" s="1"/>
      <c r="H65" s="1" t="str">
        <f t="shared" si="1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4:32" ht="12.75" customHeight="1" x14ac:dyDescent="0.2">
      <c r="D66" s="1"/>
      <c r="F66" s="21" t="s">
        <v>42</v>
      </c>
      <c r="G66" s="1"/>
      <c r="H66" s="1" t="str">
        <f t="shared" si="1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4:32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4:32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4:32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4:32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4:32" ht="12.75" customHeight="1" x14ac:dyDescent="0.2"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</row>
    <row r="72" spans="4:32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4:32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4:32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4:32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4:32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4:32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4:32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4:32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4:32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11" priority="3" stopIfTrue="1">
      <formula>$F22="Terminado"</formula>
    </cfRule>
    <cfRule type="expression" dxfId="10" priority="4" stopIfTrue="1">
      <formula>$F22="En Progreso"</formula>
    </cfRule>
  </conditionalFormatting>
  <conditionalFormatting sqref="L22:AF65 C26:K65">
    <cfRule type="expression" dxfId="9" priority="1" stopIfTrue="1">
      <formula>$F18="Done"</formula>
    </cfRule>
    <cfRule type="expression" dxfId="8" priority="2" stopIfTrue="1">
      <formula>$F18="Ongoing"</formula>
    </cfRule>
  </conditionalFormatting>
  <dataValidations count="1">
    <dataValidation type="list" allowBlank="1" sqref="F10:F15 F22:F71" xr:uid="{00000000-0002-0000-00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tabSelected="1" topLeftCell="A21" workbookViewId="0">
      <selection activeCell="C40" sqref="C40"/>
    </sheetView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100.425781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2:32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2:32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2:32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2:32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2:32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2:32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2:32" ht="12.75" customHeight="1" x14ac:dyDescent="0.2">
      <c r="D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</row>
    <row r="8" spans="2:32" ht="12.75" customHeight="1" x14ac:dyDescent="0.25">
      <c r="C8" s="18">
        <v>2</v>
      </c>
      <c r="D8" s="19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</row>
    <row r="9" spans="2:32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2:32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2:32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2:32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2:32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2:32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2:32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2:32" ht="12.75" customHeight="1" x14ac:dyDescent="0.2">
      <c r="B16" s="22"/>
      <c r="C16" s="22" t="s">
        <v>6</v>
      </c>
      <c r="D16" s="1">
        <v>19</v>
      </c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>
        <v>10</v>
      </c>
      <c r="E17" s="22" t="s">
        <v>10</v>
      </c>
      <c r="F17" s="22" t="s">
        <v>11</v>
      </c>
      <c r="G17" s="24">
        <f ca="1">SUM(OFFSET(G21,1,0,'Sprint 2'!TaskRows,1))</f>
        <v>78</v>
      </c>
      <c r="H17" s="24">
        <f ca="1">IF(AND(SUM(OFFSET(H21,1,0,'Sprint 2'!TaskRows,1))=0),0,SUM(OFFSET(H21,1,0,'Sprint 2'!TaskRows,1)))</f>
        <v>78</v>
      </c>
      <c r="I17" s="24">
        <f ca="1">IF(AND(SUM(OFFSET(I21,1,0,'Sprint 2'!TaskRows,1))=0),"",SUM(OFFSET(I21,1,0,'Sprint 2'!TaskRows,1)))</f>
        <v>67</v>
      </c>
      <c r="J17" s="24">
        <f ca="1">IF(AND(SUM(OFFSET(J21,1,0,'Sprint 2'!TaskRows,1))=0),"",SUM(OFFSET(J21,1,0,'Sprint 2'!TaskRows,1)))</f>
        <v>53</v>
      </c>
      <c r="K17" s="24">
        <f ca="1">IF(AND(SUM(OFFSET(K21,1,0,'Sprint 2'!TaskRows,1))=0),"",SUM(OFFSET(K21,1,0,'Sprint 2'!TaskRows,1)))</f>
        <v>40</v>
      </c>
      <c r="L17" s="24">
        <f ca="1">IF(AND(SUM(OFFSET(L21,1,0,'Sprint 2'!TaskRows,1))=0),"",SUM(OFFSET(L21,1,0,'Sprint 2'!TaskRows,1)))</f>
        <v>25</v>
      </c>
      <c r="M17" s="24">
        <f ca="1">IF(AND(SUM(OFFSET(M21,1,0,'Sprint 2'!TaskRows,1))=0),"",SUM(OFFSET(M21,1,0,'Sprint 2'!TaskRows,1)))</f>
        <v>10</v>
      </c>
      <c r="N17" s="24" t="str">
        <f ca="1">IF(AND(SUM(OFFSET(N21,1,0,'Sprint 2'!TaskRows,1))=0),"",SUM(OFFSET(N21,1,0,'Sprint 2'!TaskRows,1)))</f>
        <v/>
      </c>
      <c r="O17" s="24" t="str">
        <f ca="1">IF(AND(SUM(OFFSET(O21,1,0,'Sprint 2'!TaskRows,1))=0),"",SUM(OFFSET(O21,1,0,'Sprint 2'!TaskRows,1)))</f>
        <v/>
      </c>
      <c r="P17" s="24" t="str">
        <f ca="1">IF(AND(SUM(OFFSET(P21,1,0,'Sprint 2'!TaskRows,1))=0),"",SUM(OFFSET(P21,1,0,'Sprint 2'!TaskRows,1)))</f>
        <v/>
      </c>
      <c r="Q17" s="24" t="str">
        <f ca="1">IF(AND(SUM(OFFSET(Q21,1,0,'Sprint 2'!TaskRows,1))=0),"",SUM(OFFSET(Q21,1,0,'Sprint 2'!TaskRows,1)))</f>
        <v/>
      </c>
      <c r="R17" s="24" t="str">
        <f ca="1">IF(AND(SUM(OFFSET(R21,1,0,'Sprint 2'!TaskRows,1))=0),"",SUM(OFFSET(R21,1,0,'Sprint 2'!TaskRows,1)))</f>
        <v/>
      </c>
      <c r="S17" s="24" t="str">
        <f ca="1">IF(AND(SUM(OFFSET(S21,1,0,'Sprint 2'!TaskRows,1))=0),"",SUM(OFFSET(S21,1,0,'Sprint 2'!TaskRows,1)))</f>
        <v/>
      </c>
      <c r="T17" s="24" t="str">
        <f ca="1">IF(AND(SUM(OFFSET(T21,1,0,'Sprint 2'!TaskRows,1))=0),"",SUM(OFFSET(T21,1,0,'Sprint 2'!TaskRows,1)))</f>
        <v/>
      </c>
      <c r="U17" s="24" t="str">
        <f ca="1">IF(AND(SUM(OFFSET(U21,1,0,'Sprint 2'!TaskRows,1))=0),"",SUM(OFFSET(U21,1,0,'Sprint 2'!TaskRows,1)))</f>
        <v/>
      </c>
      <c r="V17" s="24" t="str">
        <f ca="1">IF(AND(SUM(OFFSET(V21,1,0,'Sprint 2'!TaskRows,1))=0),"",SUM(OFFSET(V21,1,0,'Sprint 2'!TaskRows,1)))</f>
        <v/>
      </c>
      <c r="W17" s="24" t="str">
        <f ca="1">IF(AND(SUM(OFFSET(W21,1,0,'Sprint 2'!TaskRows,1))=0),"",SUM(OFFSET(W21,1,0,'Sprint 2'!TaskRows,1)))</f>
        <v/>
      </c>
      <c r="X17" s="24" t="str">
        <f ca="1">IF(AND(SUM(OFFSET(X21,1,0,'Sprint 2'!TaskRows,1))=0),"",SUM(OFFSET(X21,1,0,'Sprint 2'!TaskRows,1)))</f>
        <v/>
      </c>
      <c r="Y17" s="24" t="str">
        <f ca="1">IF(AND(SUM(OFFSET(Y21,1,0,'Sprint 2'!TaskRows,1))=0),"",SUM(OFFSET(Y21,1,0,'Sprint 2'!TaskRows,1)))</f>
        <v/>
      </c>
      <c r="Z17" s="24" t="str">
        <f ca="1">IF(AND(SUM(OFFSET(Z21,1,0,'Sprint 2'!TaskRows,1))=0),"",SUM(OFFSET(Z21,1,0,'Sprint 2'!TaskRows,1)))</f>
        <v/>
      </c>
      <c r="AA17" s="24" t="str">
        <f ca="1">IF(AND(SUM(OFFSET(AA21,1,0,'Sprint 2'!TaskRows,1))=0),"",SUM(OFFSET(AA21,1,0,'Sprint 2'!TaskRows,1)))</f>
        <v/>
      </c>
      <c r="AB17" s="24" t="str">
        <f ca="1">IF(AND(SUM(OFFSET(AB21,1,0,'Sprint 2'!TaskRows,1))=0),"",SUM(OFFSET(AB21,1,0,'Sprint 2'!TaskRows,1)))</f>
        <v/>
      </c>
      <c r="AC17" s="24" t="str">
        <f ca="1">IF(AND(SUM(OFFSET(AC21,1,0,'Sprint 2'!TaskRows,1))=0),"",SUM(OFFSET(AC21,1,0,'Sprint 2'!TaskRows,1)))</f>
        <v/>
      </c>
      <c r="AD17" s="24" t="str">
        <f ca="1">IF(AND(SUM(OFFSET(AD21,1,0,'Sprint 2'!TaskRows,1))=0),"",SUM(OFFSET(AD21,1,0,'Sprint 2'!TaskRows,1)))</f>
        <v/>
      </c>
      <c r="AE17" s="24" t="str">
        <f ca="1">IF(AND(SUM(OFFSET(AE21,1,0,'Sprint 2'!TaskRows,1))=0),"",SUM(OFFSET(AE21,1,0,'Sprint 2'!TaskRows,1)))</f>
        <v/>
      </c>
      <c r="AF17" s="24" t="str">
        <f ca="1">IF(AND(SUM(OFFSET(AF21,1,0,'Sprint 2'!TaskRows,1))=0),"",SUM(OFFSET(AF21,1,0,'Sprint 2'!TaskRows,1)))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15</v>
      </c>
      <c r="E18" s="21" t="s">
        <v>13</v>
      </c>
      <c r="F18" s="1">
        <f ca="1">IF(COUNTIF(H17:AF17,"&gt;0")=0,1,COUNTIF(H17:AF17,"&gt;0"))</f>
        <v>6</v>
      </c>
      <c r="G18" s="1"/>
      <c r="H18" s="1">
        <f ca="1">IF(H21="","",$G17-$G17/($D16-1)*(H21-1))</f>
        <v>78</v>
      </c>
      <c r="I18" s="1">
        <f ca="1">IF(I21="","",'Sprint 2'!TotalEffort-'Sprint 2'!TotalEffort/('Sprint 2'!ImplementationDays)*(I21-1))</f>
        <v>73.89473684210526</v>
      </c>
      <c r="J18" s="1">
        <f ca="1">IF(J21="","",'Sprint 2'!TotalEffort-'Sprint 2'!TotalEffort/('Sprint 2'!ImplementationDays)*(J21-1))</f>
        <v>69.78947368421052</v>
      </c>
      <c r="K18" s="1">
        <f ca="1">IF(K21="","",'Sprint 2'!TotalEffort-'Sprint 2'!TotalEffort/('Sprint 2'!ImplementationDays)*(K21-1))</f>
        <v>65.68421052631578</v>
      </c>
      <c r="L18" s="1">
        <f ca="1">IF(L21="","",'Sprint 2'!TotalEffort-'Sprint 2'!TotalEffort/('Sprint 2'!ImplementationDays)*(L21-1))</f>
        <v>61.578947368421055</v>
      </c>
      <c r="M18" s="1">
        <f ca="1">IF(M21="","",'Sprint 2'!TotalEffort-'Sprint 2'!TotalEffort/('Sprint 2'!ImplementationDays)*(M21-1))</f>
        <v>57.473684210526315</v>
      </c>
      <c r="N18" s="1">
        <f ca="1">IF(N21="","",'Sprint 2'!TotalEffort-'Sprint 2'!TotalEffort/('Sprint 2'!ImplementationDays)*(N21-1))</f>
        <v>53.368421052631575</v>
      </c>
      <c r="O18" s="1">
        <f ca="1">IF(O21="","",'Sprint 2'!TotalEffort-'Sprint 2'!TotalEffort/('Sprint 2'!ImplementationDays)*(O21-1))</f>
        <v>49.263157894736835</v>
      </c>
      <c r="P18" s="1">
        <f ca="1">IF(P21="","",'Sprint 2'!TotalEffort-'Sprint 2'!TotalEffort/('Sprint 2'!ImplementationDays)*(P21-1))</f>
        <v>45.157894736842103</v>
      </c>
      <c r="Q18" s="1">
        <f ca="1">IF(Q21="","",'Sprint 2'!TotalEffort-'Sprint 2'!TotalEffort/('Sprint 2'!ImplementationDays)*(Q21-1))</f>
        <v>41.052631578947363</v>
      </c>
      <c r="R18" s="1">
        <f ca="1">IF(R21="","",'Sprint 2'!TotalEffort-'Sprint 2'!TotalEffort/('Sprint 2'!ImplementationDays)*(R21-1))</f>
        <v>36.94736842105263</v>
      </c>
      <c r="S18" s="1">
        <f ca="1">IF(S21="","",'Sprint 2'!TotalEffort-'Sprint 2'!TotalEffort/('Sprint 2'!ImplementationDays)*(S21-1))</f>
        <v>32.84210526315789</v>
      </c>
      <c r="T18" s="1">
        <f ca="1">IF(T21="","",'Sprint 2'!TotalEffort-'Sprint 2'!TotalEffort/('Sprint 2'!ImplementationDays)*(T21-1))</f>
        <v>28.73684210526315</v>
      </c>
      <c r="U18" s="1">
        <f ca="1">IF(U21="","",'Sprint 2'!TotalEffort-'Sprint 2'!TotalEffort/('Sprint 2'!ImplementationDays)*(U21-1))</f>
        <v>24.631578947368418</v>
      </c>
      <c r="V18" s="1">
        <f ca="1">IF(V21="","",'Sprint 2'!TotalEffort-'Sprint 2'!TotalEffort/('Sprint 2'!ImplementationDays)*(V21-1))</f>
        <v>20.526315789473678</v>
      </c>
      <c r="W18" s="1">
        <f ca="1">IF(W21="","",'Sprint 2'!TotalEffort-'Sprint 2'!TotalEffort/('Sprint 2'!ImplementationDays)*(W21-1))</f>
        <v>16.421052631578945</v>
      </c>
      <c r="X18" s="1">
        <f ca="1">IF(X21="","",'Sprint 2'!TotalEffort-'Sprint 2'!TotalEffort/('Sprint 2'!ImplementationDays)*(X21-1))</f>
        <v>12.315789473684205</v>
      </c>
      <c r="Y18" s="1">
        <f ca="1">IF(Y21="","",'Sprint 2'!TotalEffort-'Sprint 2'!TotalEffort/('Sprint 2'!ImplementationDays)*(Y21-1))</f>
        <v>8.2105263157894655</v>
      </c>
      <c r="Z18" s="1">
        <f ca="1">IF(Z21="","",'Sprint 2'!TotalEffort-'Sprint 2'!TotalEffort/('Sprint 2'!ImplementationDays)*(Z21-1))</f>
        <v>4.1052631578947256</v>
      </c>
      <c r="AA18" s="1" t="str">
        <f>IF(AA21="","",'Sprint 2'!TotalEffort-'Sprint 2'!TotalEffort/('Sprint 2'!ImplementationDays)*(AA21-1))</f>
        <v/>
      </c>
      <c r="AB18" s="1" t="str">
        <f>IF(AB21="","",'Sprint 2'!TotalEffort-'Sprint 2'!TotalEffort/('Sprint 2'!ImplementationDays)*(AB21-1))</f>
        <v/>
      </c>
      <c r="AC18" s="1" t="str">
        <f>IF(AC21="","",'Sprint 2'!TotalEffort-'Sprint 2'!TotalEffort/('Sprint 2'!ImplementationDays)*(AC21-1))</f>
        <v/>
      </c>
      <c r="AD18" s="1" t="str">
        <f>IF(AD21="","",'Sprint 2'!TotalEffort-'Sprint 2'!TotalEffort/('Sprint 2'!ImplementationDays)*(AD21-1))</f>
        <v/>
      </c>
      <c r="AE18" s="1" t="str">
        <f>IF(AE21="","",'Sprint 2'!TotalEffort-'Sprint 2'!TotalEffort/('Sprint 2'!ImplementationDays)*(AE21-1))</f>
        <v/>
      </c>
      <c r="AF18" s="1" t="str">
        <f>IF(AF21="","",'Sprint 2'!TotalEffort-'Sprint 2'!TotalEffort/('Sprint 2'!ImplementationDays)*(AF21-1))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>
        <f t="array" aca="1" ref="H19" ca="1">IF(TREND(OFFSET($H17,0,'Sprint 2'!DoneDays-'Sprint 2'!TrendDays,1,'Sprint 2'!TrendDays),OFFSET($H20,0,'Sprint 2'!DoneDays-'Sprint 2'!TrendDays,1,'Sprint 2'!TrendDays),H20)&lt;0,"",TREND(OFFSET($H17,0,'Sprint 2'!DoneDays-'Sprint 2'!TrendDays,1,'Sprint 2'!TrendDays),OFFSET($H20,0,'Sprint 2'!DoneDays-'Sprint 2'!TrendDays,1,'Sprint 2'!TrendDays),H20))</f>
        <v>79.714285714285722</v>
      </c>
      <c r="I19" s="1">
        <f t="array" aca="1" ref="I19" ca="1">IF(TREND(OFFSET($H17,0,'Sprint 2'!DoneDays-'Sprint 2'!TrendDays,1,'Sprint 2'!TrendDays),OFFSET($H20,0,'Sprint 2'!DoneDays-'Sprint 2'!TrendDays,1,'Sprint 2'!TrendDays),I20)&lt;0,"",TREND(OFFSET($H17,0,'Sprint 2'!DoneDays-'Sprint 2'!TrendDays,1,'Sprint 2'!TrendDays),OFFSET($H20,0,'Sprint 2'!DoneDays-'Sprint 2'!TrendDays,1,'Sprint 2'!TrendDays),I20))</f>
        <v>66.028571428571439</v>
      </c>
      <c r="J19" s="1">
        <f t="array" aca="1" ref="J19" ca="1">IF(TREND(OFFSET($H17,0,'Sprint 2'!DoneDays-'Sprint 2'!TrendDays,1,'Sprint 2'!TrendDays),OFFSET($H20,0,'Sprint 2'!DoneDays-'Sprint 2'!TrendDays,1,'Sprint 2'!TrendDays),J20)&lt;0,"",TREND(OFFSET($H17,0,'Sprint 2'!DoneDays-'Sprint 2'!TrendDays,1,'Sprint 2'!TrendDays),OFFSET($H20,0,'Sprint 2'!DoneDays-'Sprint 2'!TrendDays,1,'Sprint 2'!TrendDays),J20))</f>
        <v>52.342857142857149</v>
      </c>
      <c r="K19" s="1">
        <f t="array" aca="1" ref="K19" ca="1">IF(TREND(OFFSET($H17,0,'Sprint 2'!DoneDays-'Sprint 2'!TrendDays,1,'Sprint 2'!TrendDays),OFFSET($H20,0,'Sprint 2'!DoneDays-'Sprint 2'!TrendDays,1,'Sprint 2'!TrendDays),K20)&lt;0,"",TREND(OFFSET($H17,0,'Sprint 2'!DoneDays-'Sprint 2'!TrendDays,1,'Sprint 2'!TrendDays),OFFSET($H20,0,'Sprint 2'!DoneDays-'Sprint 2'!TrendDays,1,'Sprint 2'!TrendDays),K20))</f>
        <v>38.657142857142865</v>
      </c>
      <c r="L19" s="1">
        <f t="array" aca="1" ref="L19" ca="1">IF(TREND(OFFSET($H17,0,'Sprint 2'!DoneDays-'Sprint 2'!TrendDays,1,'Sprint 2'!TrendDays),OFFSET($H20,0,'Sprint 2'!DoneDays-'Sprint 2'!TrendDays,1,'Sprint 2'!TrendDays),L20)&lt;0,"",TREND(OFFSET($H17,0,'Sprint 2'!DoneDays-'Sprint 2'!TrendDays,1,'Sprint 2'!TrendDays),OFFSET($H20,0,'Sprint 2'!DoneDays-'Sprint 2'!TrendDays,1,'Sprint 2'!TrendDays),L20))</f>
        <v>24.971428571428575</v>
      </c>
      <c r="M19" s="1">
        <f t="array" aca="1" ref="M19" ca="1">IF(TREND(OFFSET($H17,0,'Sprint 2'!DoneDays-'Sprint 2'!TrendDays,1,'Sprint 2'!TrendDays),OFFSET($H20,0,'Sprint 2'!DoneDays-'Sprint 2'!TrendDays,1,'Sprint 2'!TrendDays),M20)&lt;0,"",TREND(OFFSET($H17,0,'Sprint 2'!DoneDays-'Sprint 2'!TrendDays,1,'Sprint 2'!TrendDays),OFFSET($H20,0,'Sprint 2'!DoneDays-'Sprint 2'!TrendDays,1,'Sprint 2'!TrendDays),M20))</f>
        <v>11.285714285714292</v>
      </c>
      <c r="N19" s="1" t="str">
        <f t="array" aca="1" ref="N19" ca="1">IF(TREND(OFFSET($H17,0,'Sprint 2'!DoneDays-'Sprint 2'!TrendDays,1,'Sprint 2'!TrendDays),OFFSET($H20,0,'Sprint 2'!DoneDays-'Sprint 2'!TrendDays,1,'Sprint 2'!TrendDays),N20)&lt;0,"",TREND(OFFSET($H17,0,'Sprint 2'!DoneDays-'Sprint 2'!TrendDays,1,'Sprint 2'!TrendDays),OFFSET($H20,0,'Sprint 2'!DoneDays-'Sprint 2'!TrendDays,1,'Sprint 2'!TrendDays),N20))</f>
        <v/>
      </c>
      <c r="O19" s="1" t="str">
        <f t="array" aca="1" ref="O19" ca="1">IF(TREND(OFFSET($H17,0,'Sprint 2'!DoneDays-'Sprint 2'!TrendDays,1,'Sprint 2'!TrendDays),OFFSET($H20,0,'Sprint 2'!DoneDays-'Sprint 2'!TrendDays,1,'Sprint 2'!TrendDays),O20)&lt;0,"",TREND(OFFSET($H17,0,'Sprint 2'!DoneDays-'Sprint 2'!TrendDays,1,'Sprint 2'!TrendDays),OFFSET($H20,0,'Sprint 2'!DoneDays-'Sprint 2'!TrendDays,1,'Sprint 2'!TrendDays),O20))</f>
        <v/>
      </c>
      <c r="P19" s="1" t="str">
        <f t="array" aca="1" ref="P19" ca="1">IF(TREND(OFFSET($H17,0,'Sprint 2'!DoneDays-'Sprint 2'!TrendDays,1,'Sprint 2'!TrendDays),OFFSET($H20,0,'Sprint 2'!DoneDays-'Sprint 2'!TrendDays,1,'Sprint 2'!TrendDays),P20)&lt;0,"",TREND(OFFSET($H17,0,'Sprint 2'!DoneDays-'Sprint 2'!TrendDays,1,'Sprint 2'!TrendDays),OFFSET($H20,0,'Sprint 2'!DoneDays-'Sprint 2'!TrendDays,1,'Sprint 2'!TrendDays),P20))</f>
        <v/>
      </c>
      <c r="Q19" s="1" t="str">
        <f t="array" aca="1" ref="Q19" ca="1">IF(TREND(OFFSET($H17,0,'Sprint 2'!DoneDays-'Sprint 2'!TrendDays,1,'Sprint 2'!TrendDays),OFFSET($H20,0,'Sprint 2'!DoneDays-'Sprint 2'!TrendDays,1,'Sprint 2'!TrendDays),Q20)&lt;0,"",TREND(OFFSET($H17,0,'Sprint 2'!DoneDays-'Sprint 2'!TrendDays,1,'Sprint 2'!TrendDays),OFFSET($H20,0,'Sprint 2'!DoneDays-'Sprint 2'!TrendDays,1,'Sprint 2'!TrendDays),Q20))</f>
        <v/>
      </c>
      <c r="R19" s="1" t="str">
        <f t="array" aca="1" ref="R19" ca="1">IF(TREND(OFFSET($H17,0,'Sprint 2'!DoneDays-'Sprint 2'!TrendDays,1,'Sprint 2'!TrendDays),OFFSET($H20,0,'Sprint 2'!DoneDays-'Sprint 2'!TrendDays,1,'Sprint 2'!TrendDays),R20)&lt;0,"",TREND(OFFSET($H17,0,'Sprint 2'!DoneDays-'Sprint 2'!TrendDays,1,'Sprint 2'!TrendDays),OFFSET($H20,0,'Sprint 2'!DoneDays-'Sprint 2'!TrendDays,1,'Sprint 2'!TrendDays),R20))</f>
        <v/>
      </c>
      <c r="S19" s="1" t="str">
        <f t="array" aca="1" ref="S19" ca="1">IF(TREND(OFFSET($H17,0,'Sprint 2'!DoneDays-'Sprint 2'!TrendDays,1,'Sprint 2'!TrendDays),OFFSET($H20,0,'Sprint 2'!DoneDays-'Sprint 2'!TrendDays,1,'Sprint 2'!TrendDays),S20)&lt;0,"",TREND(OFFSET($H17,0,'Sprint 2'!DoneDays-'Sprint 2'!TrendDays,1,'Sprint 2'!TrendDays),OFFSET($H20,0,'Sprint 2'!DoneDays-'Sprint 2'!TrendDays,1,'Sprint 2'!TrendDays),S20))</f>
        <v/>
      </c>
      <c r="T19" s="1" t="str">
        <f t="array" aca="1" ref="T19" ca="1">IF(TREND(OFFSET($H17,0,'Sprint 2'!DoneDays-'Sprint 2'!TrendDays,1,'Sprint 2'!TrendDays),OFFSET($H20,0,'Sprint 2'!DoneDays-'Sprint 2'!TrendDays,1,'Sprint 2'!TrendDays),T20)&lt;0,"",TREND(OFFSET($H17,0,'Sprint 2'!DoneDays-'Sprint 2'!TrendDays,1,'Sprint 2'!TrendDays),OFFSET($H20,0,'Sprint 2'!DoneDays-'Sprint 2'!TrendDays,1,'Sprint 2'!TrendDays),T20))</f>
        <v/>
      </c>
      <c r="U19" s="1" t="str">
        <f t="array" aca="1" ref="U19" ca="1">IF(TREND(OFFSET($H17,0,'Sprint 2'!DoneDays-'Sprint 2'!TrendDays,1,'Sprint 2'!TrendDays),OFFSET($H20,0,'Sprint 2'!DoneDays-'Sprint 2'!TrendDays,1,'Sprint 2'!TrendDays),U20)&lt;0,"",TREND(OFFSET($H17,0,'Sprint 2'!DoneDays-'Sprint 2'!TrendDays,1,'Sprint 2'!TrendDays),OFFSET($H20,0,'Sprint 2'!DoneDays-'Sprint 2'!TrendDays,1,'Sprint 2'!TrendDays),U20))</f>
        <v/>
      </c>
      <c r="V19" s="1" t="str">
        <f t="array" aca="1" ref="V19" ca="1">IF(TREND(OFFSET($H17,0,'Sprint 2'!DoneDays-'Sprint 2'!TrendDays,1,'Sprint 2'!TrendDays),OFFSET($H20,0,'Sprint 2'!DoneDays-'Sprint 2'!TrendDays,1,'Sprint 2'!TrendDays),V20)&lt;0,"",TREND(OFFSET($H17,0,'Sprint 2'!DoneDays-'Sprint 2'!TrendDays,1,'Sprint 2'!TrendDays),OFFSET($H20,0,'Sprint 2'!DoneDays-'Sprint 2'!TrendDays,1,'Sprint 2'!TrendDays),V20))</f>
        <v/>
      </c>
      <c r="W19" s="1" t="str">
        <f t="array" aca="1" ref="W19" ca="1">IF(TREND(OFFSET($H17,0,'Sprint 2'!DoneDays-'Sprint 2'!TrendDays,1,'Sprint 2'!TrendDays),OFFSET($H20,0,'Sprint 2'!DoneDays-'Sprint 2'!TrendDays,1,'Sprint 2'!TrendDays),W20)&lt;0,"",TREND(OFFSET($H17,0,'Sprint 2'!DoneDays-'Sprint 2'!TrendDays,1,'Sprint 2'!TrendDays),OFFSET($H20,0,'Sprint 2'!DoneDays-'Sprint 2'!TrendDays,1,'Sprint 2'!TrendDays),W20))</f>
        <v/>
      </c>
      <c r="X19" s="1" t="str">
        <f t="array" aca="1" ref="X19" ca="1">IF(TREND(OFFSET($H17,0,'Sprint 2'!DoneDays-'Sprint 2'!TrendDays,1,'Sprint 2'!TrendDays),OFFSET($H20,0,'Sprint 2'!DoneDays-'Sprint 2'!TrendDays,1,'Sprint 2'!TrendDays),X20)&lt;0,"",TREND(OFFSET($H17,0,'Sprint 2'!DoneDays-'Sprint 2'!TrendDays,1,'Sprint 2'!TrendDays),OFFSET($H20,0,'Sprint 2'!DoneDays-'Sprint 2'!TrendDays,1,'Sprint 2'!TrendDays),X20))</f>
        <v/>
      </c>
      <c r="Y19" s="1" t="str">
        <f t="array" aca="1" ref="Y19" ca="1">IF(TREND(OFFSET($H17,0,'Sprint 2'!DoneDays-'Sprint 2'!TrendDays,1,'Sprint 2'!TrendDays),OFFSET($H20,0,'Sprint 2'!DoneDays-'Sprint 2'!TrendDays,1,'Sprint 2'!TrendDays),Y20)&lt;0,"",TREND(OFFSET($H17,0,'Sprint 2'!DoneDays-'Sprint 2'!TrendDays,1,'Sprint 2'!TrendDays),OFFSET($H20,0,'Sprint 2'!DoneDays-'Sprint 2'!TrendDays,1,'Sprint 2'!TrendDays),Y20))</f>
        <v/>
      </c>
      <c r="Z19" s="1" t="str">
        <f t="array" aca="1" ref="Z19" ca="1">IF(TREND(OFFSET($H17,0,'Sprint 2'!DoneDays-'Sprint 2'!TrendDays,1,'Sprint 2'!TrendDays),OFFSET($H20,0,'Sprint 2'!DoneDays-'Sprint 2'!TrendDays,1,'Sprint 2'!TrendDays),Z20)&lt;0,"",TREND(OFFSET($H17,0,'Sprint 2'!DoneDays-'Sprint 2'!TrendDays,1,'Sprint 2'!TrendDays),OFFSET($H20,0,'Sprint 2'!DoneDays-'Sprint 2'!TrendDays,1,'Sprint 2'!TrendDays),Z20))</f>
        <v/>
      </c>
      <c r="AA19" s="1" t="str">
        <f t="array" aca="1" ref="AA19" ca="1">IF(TREND(OFFSET($H17,0,'Sprint 2'!DoneDays-'Sprint 2'!TrendDays,1,'Sprint 2'!TrendDays),OFFSET($H20,0,'Sprint 2'!DoneDays-'Sprint 2'!TrendDays,1,'Sprint 2'!TrendDays),AA20)&lt;0,"",TREND(OFFSET($H17,0,'Sprint 2'!DoneDays-'Sprint 2'!TrendDays,1,'Sprint 2'!TrendDays),OFFSET($H20,0,'Sprint 2'!DoneDays-'Sprint 2'!TrendDays,1,'Sprint 2'!TrendDays),AA20))</f>
        <v/>
      </c>
      <c r="AB19" s="1" t="str">
        <f t="array" aca="1" ref="AB19" ca="1">IF(TREND(OFFSET($H17,0,'Sprint 2'!DoneDays-'Sprint 2'!TrendDays,1,'Sprint 2'!TrendDays),OFFSET($H20,0,'Sprint 2'!DoneDays-'Sprint 2'!TrendDays,1,'Sprint 2'!TrendDays),AB20)&lt;0,"",TREND(OFFSET($H17,0,'Sprint 2'!DoneDays-'Sprint 2'!TrendDays,1,'Sprint 2'!TrendDays),OFFSET($H20,0,'Sprint 2'!DoneDays-'Sprint 2'!TrendDays,1,'Sprint 2'!TrendDays),AB20))</f>
        <v/>
      </c>
      <c r="AC19" s="1" t="str">
        <f t="array" aca="1" ref="AC19" ca="1">IF(TREND(OFFSET($H17,0,'Sprint 2'!DoneDays-'Sprint 2'!TrendDays,1,'Sprint 2'!TrendDays),OFFSET($H20,0,'Sprint 2'!DoneDays-'Sprint 2'!TrendDays,1,'Sprint 2'!TrendDays),AC20)&lt;0,"",TREND(OFFSET($H17,0,'Sprint 2'!DoneDays-'Sprint 2'!TrendDays,1,'Sprint 2'!TrendDays),OFFSET($H20,0,'Sprint 2'!DoneDays-'Sprint 2'!TrendDays,1,'Sprint 2'!TrendDays),AC20))</f>
        <v/>
      </c>
      <c r="AD19" s="1" t="str">
        <f t="array" aca="1" ref="AD19" ca="1">IF(TREND(OFFSET($H17,0,'Sprint 2'!DoneDays-'Sprint 2'!TrendDays,1,'Sprint 2'!TrendDays),OFFSET($H20,0,'Sprint 2'!DoneDays-'Sprint 2'!TrendDays,1,'Sprint 2'!TrendDays),AD20)&lt;0,"",TREND(OFFSET($H17,0,'Sprint 2'!DoneDays-'Sprint 2'!TrendDays,1,'Sprint 2'!TrendDays),OFFSET($H20,0,'Sprint 2'!DoneDays-'Sprint 2'!TrendDays,1,'Sprint 2'!TrendDays),AD20))</f>
        <v/>
      </c>
      <c r="AE19" s="1" t="str">
        <f t="array" aca="1" ref="AE19" ca="1">IF(TREND(OFFSET($H17,0,'Sprint 2'!DoneDays-'Sprint 2'!TrendDays,1,'Sprint 2'!TrendDays),OFFSET($H20,0,'Sprint 2'!DoneDays-'Sprint 2'!TrendDays,1,'Sprint 2'!TrendDays),AE20)&lt;0,"",TREND(OFFSET($H17,0,'Sprint 2'!DoneDays-'Sprint 2'!TrendDays,1,'Sprint 2'!TrendDays),OFFSET($H20,0,'Sprint 2'!DoneDays-'Sprint 2'!TrendDays,1,'Sprint 2'!TrendDays),AE20))</f>
        <v/>
      </c>
      <c r="AF19" s="1" t="str">
        <f t="array" aca="1" ref="AF19" ca="1">IF(TREND(OFFSET($H17,0,'Sprint 2'!DoneDays-'Sprint 2'!TrendDays,1,'Sprint 2'!TrendDays),OFFSET($H20,0,'Sprint 2'!DoneDays-'Sprint 2'!TrendDays,1,'Sprint 2'!TrendDays),AF20)&lt;0,"",TREND(OFFSET($H17,0,'Sprint 2'!DoneDays-'Sprint 2'!TrendDays,1,'Sprint 2'!TrendDays),OFFSET($H20,0,'Sprint 2'!DoneDays-'Sprint 2'!TrendDays,1,'Sprint 2'!TrendDays),AF20))</f>
        <v/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IF('Sprint 2'!DoneDays&gt;D17,D17,'Sprint 2'!DoneDays)</f>
        <v>6</v>
      </c>
      <c r="G20" s="1"/>
      <c r="H20" s="1">
        <f ca="1">IF('Sprint 2'!DoneDays&gt;G20,G20+1,"")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>
        <f t="shared" ref="I21:AF21" si="0">IF($D$16&gt;H21,H21+1,"")</f>
        <v>2</v>
      </c>
      <c r="J21" s="26">
        <f t="shared" si="0"/>
        <v>3</v>
      </c>
      <c r="K21" s="26">
        <f t="shared" si="0"/>
        <v>4</v>
      </c>
      <c r="L21" s="26">
        <f t="shared" si="0"/>
        <v>5</v>
      </c>
      <c r="M21" s="26">
        <f t="shared" si="0"/>
        <v>6</v>
      </c>
      <c r="N21" s="26">
        <f t="shared" si="0"/>
        <v>7</v>
      </c>
      <c r="O21" s="26">
        <f t="shared" si="0"/>
        <v>8</v>
      </c>
      <c r="P21" s="26">
        <f t="shared" si="0"/>
        <v>9</v>
      </c>
      <c r="Q21" s="26">
        <f t="shared" si="0"/>
        <v>10</v>
      </c>
      <c r="R21" s="26">
        <f t="shared" si="0"/>
        <v>11</v>
      </c>
      <c r="S21" s="26">
        <f t="shared" si="0"/>
        <v>12</v>
      </c>
      <c r="T21" s="26">
        <f t="shared" si="0"/>
        <v>13</v>
      </c>
      <c r="U21" s="26">
        <f t="shared" si="0"/>
        <v>14</v>
      </c>
      <c r="V21" s="26">
        <f t="shared" si="0"/>
        <v>15</v>
      </c>
      <c r="W21" s="26">
        <f t="shared" si="0"/>
        <v>16</v>
      </c>
      <c r="X21" s="26">
        <f t="shared" si="0"/>
        <v>17</v>
      </c>
      <c r="Y21" s="26">
        <f t="shared" si="0"/>
        <v>18</v>
      </c>
      <c r="Z21" s="26">
        <f t="shared" si="0"/>
        <v>19</v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B22" s="21">
        <v>4.0999999999999996</v>
      </c>
      <c r="C22" s="21" t="s">
        <v>44</v>
      </c>
      <c r="D22" s="1">
        <v>4</v>
      </c>
      <c r="E22" s="21" t="s">
        <v>26</v>
      </c>
      <c r="F22" s="21" t="s">
        <v>37</v>
      </c>
      <c r="G22" s="1">
        <v>6</v>
      </c>
      <c r="H22" s="1">
        <f t="shared" ref="H22:H66" si="1">IF(OR(H$21="",$G22=""),"",G22)</f>
        <v>6</v>
      </c>
      <c r="I22" s="1">
        <v>5</v>
      </c>
      <c r="J22" s="1">
        <v>4</v>
      </c>
      <c r="K22" s="1">
        <v>3</v>
      </c>
      <c r="L22" s="1">
        <v>2</v>
      </c>
      <c r="M22" s="1">
        <v>1</v>
      </c>
      <c r="N22" s="1">
        <v>0</v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2">IF(OR(AE$21="",$G22=""),"",AD22)</f>
        <v/>
      </c>
      <c r="AF22" s="1" t="str">
        <f t="shared" si="2"/>
        <v/>
      </c>
    </row>
    <row r="23" spans="2:32" ht="12.75" customHeight="1" x14ac:dyDescent="0.2">
      <c r="B23" s="21">
        <v>4.2</v>
      </c>
      <c r="C23" s="21" t="s">
        <v>45</v>
      </c>
      <c r="D23" s="1">
        <v>4</v>
      </c>
      <c r="E23" s="21" t="s">
        <v>26</v>
      </c>
      <c r="F23" s="21" t="s">
        <v>37</v>
      </c>
      <c r="G23" s="1">
        <v>4</v>
      </c>
      <c r="H23" s="1">
        <f t="shared" si="1"/>
        <v>4</v>
      </c>
      <c r="I23" s="1">
        <v>3</v>
      </c>
      <c r="J23" s="1">
        <v>3</v>
      </c>
      <c r="K23" s="1">
        <v>2</v>
      </c>
      <c r="L23" s="1">
        <v>1</v>
      </c>
      <c r="M23" s="1">
        <v>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3">IF(OR(AE$21="",$G23=""),"",AD23)</f>
        <v/>
      </c>
      <c r="AF23" s="1" t="str">
        <f t="shared" si="3"/>
        <v/>
      </c>
    </row>
    <row r="24" spans="2:32" ht="12.75" customHeight="1" x14ac:dyDescent="0.2">
      <c r="B24" s="21">
        <v>4.3</v>
      </c>
      <c r="C24" s="21" t="s">
        <v>46</v>
      </c>
      <c r="D24" s="1">
        <v>4</v>
      </c>
      <c r="E24" s="21" t="s">
        <v>26</v>
      </c>
      <c r="F24" s="21" t="s">
        <v>37</v>
      </c>
      <c r="G24" s="1">
        <v>4</v>
      </c>
      <c r="H24" s="1">
        <f t="shared" si="1"/>
        <v>4</v>
      </c>
      <c r="I24" s="1">
        <v>4</v>
      </c>
      <c r="J24" s="1">
        <v>3</v>
      </c>
      <c r="K24" s="1">
        <v>2</v>
      </c>
      <c r="L24" s="1">
        <v>1</v>
      </c>
      <c r="M24" s="1">
        <v>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4">IF(OR(AE$21="",$G24=""),"",AD24)</f>
        <v/>
      </c>
      <c r="AF24" s="1" t="str">
        <f t="shared" si="4"/>
        <v/>
      </c>
    </row>
    <row r="25" spans="2:32" ht="12.75" customHeight="1" x14ac:dyDescent="0.2">
      <c r="B25" s="21">
        <v>4.4000000000000004</v>
      </c>
      <c r="C25" s="21" t="s">
        <v>47</v>
      </c>
      <c r="D25" s="1">
        <v>4</v>
      </c>
      <c r="E25" s="21" t="s">
        <v>26</v>
      </c>
      <c r="F25" s="21" t="s">
        <v>37</v>
      </c>
      <c r="G25" s="1">
        <v>5</v>
      </c>
      <c r="H25" s="1">
        <f t="shared" si="1"/>
        <v>5</v>
      </c>
      <c r="I25" s="1">
        <v>4</v>
      </c>
      <c r="J25" s="1">
        <v>3</v>
      </c>
      <c r="K25" s="1">
        <v>3</v>
      </c>
      <c r="L25" s="1">
        <v>2</v>
      </c>
      <c r="M25" s="1">
        <v>1</v>
      </c>
      <c r="N25" s="1">
        <v>0</v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5">IF(OR(AE$21="",$G25=""),"",AD25)</f>
        <v/>
      </c>
      <c r="AF25" s="1" t="str">
        <f t="shared" si="5"/>
        <v/>
      </c>
    </row>
    <row r="26" spans="2:32" ht="12.75" customHeight="1" x14ac:dyDescent="0.2">
      <c r="B26" s="21">
        <v>5.0999999999999996</v>
      </c>
      <c r="C26" s="21" t="s">
        <v>48</v>
      </c>
      <c r="D26" s="1">
        <v>5</v>
      </c>
      <c r="E26" s="21" t="s">
        <v>30</v>
      </c>
      <c r="F26" s="21" t="s">
        <v>37</v>
      </c>
      <c r="G26" s="1">
        <v>5</v>
      </c>
      <c r="H26" s="1">
        <f t="shared" si="1"/>
        <v>5</v>
      </c>
      <c r="I26" s="1">
        <v>4</v>
      </c>
      <c r="J26" s="1">
        <v>3</v>
      </c>
      <c r="K26" s="1">
        <v>2</v>
      </c>
      <c r="L26" s="1">
        <v>1</v>
      </c>
      <c r="M26" s="1">
        <v>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6">IF(OR(AE$21="",$G26=""),"",AD26)</f>
        <v/>
      </c>
      <c r="AF26" s="1" t="str">
        <f t="shared" si="6"/>
        <v/>
      </c>
    </row>
    <row r="27" spans="2:32" ht="12.75" customHeight="1" x14ac:dyDescent="0.2">
      <c r="B27" s="21">
        <v>5.2</v>
      </c>
      <c r="C27" s="21" t="s">
        <v>49</v>
      </c>
      <c r="D27" s="1">
        <v>5</v>
      </c>
      <c r="E27" s="21" t="s">
        <v>30</v>
      </c>
      <c r="F27" s="21" t="s">
        <v>37</v>
      </c>
      <c r="G27" s="1">
        <v>6</v>
      </c>
      <c r="H27" s="1">
        <f t="shared" si="1"/>
        <v>6</v>
      </c>
      <c r="I27" s="1">
        <v>5</v>
      </c>
      <c r="J27" s="1">
        <v>4</v>
      </c>
      <c r="K27" s="1">
        <v>3</v>
      </c>
      <c r="L27" s="1">
        <v>2</v>
      </c>
      <c r="M27" s="1">
        <v>1</v>
      </c>
      <c r="N27" s="1">
        <v>0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7">IF(OR(AE$21="",$G27=""),"",AD27)</f>
        <v/>
      </c>
      <c r="AF27" s="1" t="str">
        <f t="shared" si="7"/>
        <v/>
      </c>
    </row>
    <row r="28" spans="2:32" ht="12.75" customHeight="1" x14ac:dyDescent="0.2">
      <c r="B28" s="21">
        <v>5.3</v>
      </c>
      <c r="C28" s="21" t="s">
        <v>50</v>
      </c>
      <c r="D28" s="1">
        <v>5</v>
      </c>
      <c r="E28" s="21" t="s">
        <v>30</v>
      </c>
      <c r="F28" s="21" t="s">
        <v>37</v>
      </c>
      <c r="G28" s="1">
        <v>5</v>
      </c>
      <c r="H28" s="1">
        <f t="shared" si="1"/>
        <v>5</v>
      </c>
      <c r="I28" s="1">
        <v>5</v>
      </c>
      <c r="J28" s="1">
        <v>4</v>
      </c>
      <c r="K28" s="1">
        <v>3</v>
      </c>
      <c r="L28" s="1">
        <v>2</v>
      </c>
      <c r="M28" s="1">
        <v>1</v>
      </c>
      <c r="N28" s="1">
        <v>0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8">IF(OR(AE$21="",$G28=""),"",AD28)</f>
        <v/>
      </c>
      <c r="AF28" s="1" t="str">
        <f t="shared" si="8"/>
        <v/>
      </c>
    </row>
    <row r="29" spans="2:32" ht="12.75" customHeight="1" x14ac:dyDescent="0.2">
      <c r="B29" s="21">
        <v>5.4</v>
      </c>
      <c r="C29" s="21" t="s">
        <v>51</v>
      </c>
      <c r="D29" s="1">
        <v>5</v>
      </c>
      <c r="E29" s="21" t="s">
        <v>30</v>
      </c>
      <c r="F29" s="21" t="s">
        <v>37</v>
      </c>
      <c r="G29" s="1">
        <v>6</v>
      </c>
      <c r="H29" s="1">
        <f t="shared" si="1"/>
        <v>6</v>
      </c>
      <c r="I29" s="1">
        <v>5</v>
      </c>
      <c r="J29" s="1">
        <v>4</v>
      </c>
      <c r="K29" s="1">
        <v>3</v>
      </c>
      <c r="L29" s="1">
        <v>2</v>
      </c>
      <c r="M29" s="1">
        <v>1</v>
      </c>
      <c r="N29" s="1">
        <v>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9">IF(OR(AE$21="",$G29=""),"",AD29)</f>
        <v/>
      </c>
      <c r="AF29" s="1" t="str">
        <f t="shared" si="9"/>
        <v/>
      </c>
    </row>
    <row r="30" spans="2:32" ht="12.75" customHeight="1" x14ac:dyDescent="0.2">
      <c r="B30" s="21">
        <v>6.1</v>
      </c>
      <c r="C30" s="21" t="s">
        <v>52</v>
      </c>
      <c r="D30" s="1">
        <v>6</v>
      </c>
      <c r="E30" s="21" t="s">
        <v>36</v>
      </c>
      <c r="F30" s="21" t="s">
        <v>37</v>
      </c>
      <c r="G30" s="1">
        <v>6</v>
      </c>
      <c r="H30" s="1">
        <f t="shared" si="1"/>
        <v>6</v>
      </c>
      <c r="I30" s="1">
        <v>5</v>
      </c>
      <c r="J30" s="1">
        <v>4</v>
      </c>
      <c r="K30" s="1">
        <v>3</v>
      </c>
      <c r="L30" s="1">
        <v>2</v>
      </c>
      <c r="M30" s="1">
        <v>1</v>
      </c>
      <c r="N30" s="1">
        <v>0</v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0">IF(OR(AE$21="",$G30=""),"",AD30)</f>
        <v/>
      </c>
      <c r="AF30" s="1" t="str">
        <f t="shared" si="10"/>
        <v/>
      </c>
    </row>
    <row r="31" spans="2:32" ht="12.75" customHeight="1" x14ac:dyDescent="0.2">
      <c r="B31" s="21">
        <v>6.2</v>
      </c>
      <c r="C31" s="21" t="s">
        <v>53</v>
      </c>
      <c r="D31" s="1">
        <v>6</v>
      </c>
      <c r="E31" s="21" t="s">
        <v>36</v>
      </c>
      <c r="F31" s="21" t="s">
        <v>37</v>
      </c>
      <c r="G31" s="1">
        <v>5</v>
      </c>
      <c r="H31" s="1">
        <f t="shared" si="1"/>
        <v>5</v>
      </c>
      <c r="I31" s="1">
        <v>4</v>
      </c>
      <c r="J31" s="1">
        <v>3</v>
      </c>
      <c r="K31" s="1">
        <v>2</v>
      </c>
      <c r="L31" s="1">
        <v>1</v>
      </c>
      <c r="M31" s="1">
        <v>0</v>
      </c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1">IF(OR(AE$21="",$G31=""),"",AD31)</f>
        <v/>
      </c>
      <c r="AF31" s="1" t="str">
        <f t="shared" si="11"/>
        <v/>
      </c>
    </row>
    <row r="32" spans="2:32" ht="12.75" customHeight="1" x14ac:dyDescent="0.2">
      <c r="B32" s="21">
        <v>6.3</v>
      </c>
      <c r="C32" s="21" t="s">
        <v>54</v>
      </c>
      <c r="D32" s="1">
        <v>6</v>
      </c>
      <c r="E32" s="21" t="s">
        <v>36</v>
      </c>
      <c r="F32" s="21" t="s">
        <v>37</v>
      </c>
      <c r="G32" s="1">
        <v>5</v>
      </c>
      <c r="H32" s="1">
        <f t="shared" si="1"/>
        <v>5</v>
      </c>
      <c r="I32" s="1">
        <v>4</v>
      </c>
      <c r="J32" s="1">
        <v>3</v>
      </c>
      <c r="K32" s="1">
        <v>3</v>
      </c>
      <c r="L32" s="1">
        <v>2</v>
      </c>
      <c r="M32" s="1">
        <v>1</v>
      </c>
      <c r="N32" s="1">
        <v>0</v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2">IF(OR(AE$21="",$G32=""),"",AD32)</f>
        <v/>
      </c>
      <c r="AF32" s="1" t="str">
        <f t="shared" si="12"/>
        <v/>
      </c>
    </row>
    <row r="33" spans="2:32" ht="12.75" customHeight="1" x14ac:dyDescent="0.2">
      <c r="B33" s="21">
        <v>6.4</v>
      </c>
      <c r="C33" s="21" t="s">
        <v>55</v>
      </c>
      <c r="D33" s="1">
        <v>6</v>
      </c>
      <c r="E33" s="21" t="s">
        <v>36</v>
      </c>
      <c r="F33" s="21" t="s">
        <v>37</v>
      </c>
      <c r="G33" s="1">
        <v>5</v>
      </c>
      <c r="H33" s="1">
        <f t="shared" si="1"/>
        <v>5</v>
      </c>
      <c r="I33" s="1">
        <v>5</v>
      </c>
      <c r="J33" s="1">
        <v>4</v>
      </c>
      <c r="K33" s="1">
        <v>3</v>
      </c>
      <c r="L33" s="1">
        <v>2</v>
      </c>
      <c r="M33" s="1">
        <v>1</v>
      </c>
      <c r="N33" s="1">
        <v>0</v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3">IF(OR(AE$21="",$G33=""),"",AD33)</f>
        <v/>
      </c>
      <c r="AF33" s="1" t="str">
        <f t="shared" si="13"/>
        <v/>
      </c>
    </row>
    <row r="34" spans="2:32" ht="12.75" customHeight="1" x14ac:dyDescent="0.2">
      <c r="B34" s="21">
        <v>7.1</v>
      </c>
      <c r="C34" s="21" t="s">
        <v>56</v>
      </c>
      <c r="D34" s="1">
        <v>7</v>
      </c>
      <c r="E34" s="21" t="s">
        <v>59</v>
      </c>
      <c r="F34" s="21" t="s">
        <v>37</v>
      </c>
      <c r="G34" s="1">
        <v>6</v>
      </c>
      <c r="H34" s="1">
        <f t="shared" si="1"/>
        <v>6</v>
      </c>
      <c r="I34" s="1">
        <v>5</v>
      </c>
      <c r="J34" s="1">
        <v>4</v>
      </c>
      <c r="K34" s="1">
        <v>3</v>
      </c>
      <c r="L34" s="1">
        <v>2</v>
      </c>
      <c r="M34" s="1">
        <v>1</v>
      </c>
      <c r="N34" s="1">
        <v>0</v>
      </c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4">IF(OR(AE$21="",$G34=""),"",AD34)</f>
        <v/>
      </c>
      <c r="AF34" s="1" t="str">
        <f t="shared" si="14"/>
        <v/>
      </c>
    </row>
    <row r="35" spans="2:32" ht="12.75" customHeight="1" x14ac:dyDescent="0.2">
      <c r="B35" s="21">
        <v>7.2</v>
      </c>
      <c r="C35" s="21" t="s">
        <v>57</v>
      </c>
      <c r="D35" s="1">
        <v>7</v>
      </c>
      <c r="E35" s="21" t="s">
        <v>59</v>
      </c>
      <c r="F35" s="21" t="s">
        <v>37</v>
      </c>
      <c r="G35" s="1">
        <v>5</v>
      </c>
      <c r="H35" s="1">
        <f t="shared" si="1"/>
        <v>5</v>
      </c>
      <c r="I35" s="1">
        <v>4</v>
      </c>
      <c r="J35" s="1">
        <v>3</v>
      </c>
      <c r="K35" s="1">
        <v>2</v>
      </c>
      <c r="L35" s="1">
        <v>1</v>
      </c>
      <c r="M35" s="1">
        <v>0</v>
      </c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5">IF(OR(AE$21="",$G35=""),"",AD35)</f>
        <v/>
      </c>
      <c r="AF35" s="1" t="str">
        <f t="shared" si="15"/>
        <v/>
      </c>
    </row>
    <row r="36" spans="2:32" ht="12.75" customHeight="1" x14ac:dyDescent="0.2">
      <c r="B36" s="21">
        <v>7.3</v>
      </c>
      <c r="C36" s="21" t="s">
        <v>58</v>
      </c>
      <c r="D36" s="1">
        <v>7</v>
      </c>
      <c r="E36" s="21" t="s">
        <v>59</v>
      </c>
      <c r="F36" s="21" t="s">
        <v>37</v>
      </c>
      <c r="G36" s="1">
        <v>5</v>
      </c>
      <c r="H36" s="1">
        <f t="shared" si="1"/>
        <v>5</v>
      </c>
      <c r="I36" s="1">
        <v>5</v>
      </c>
      <c r="J36" s="1">
        <v>4</v>
      </c>
      <c r="K36" s="1">
        <v>3</v>
      </c>
      <c r="L36" s="1">
        <v>2</v>
      </c>
      <c r="M36" s="1">
        <v>1</v>
      </c>
      <c r="N36" s="1">
        <v>0</v>
      </c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6">IF(OR(AE$21="",$G36=""),"",AD36)</f>
        <v/>
      </c>
      <c r="AF36" s="1" t="str">
        <f t="shared" si="16"/>
        <v/>
      </c>
    </row>
    <row r="37" spans="2:32" ht="12.75" customHeight="1" x14ac:dyDescent="0.2">
      <c r="D37" s="1"/>
      <c r="F37" s="21" t="str">
        <f t="shared" ref="F37:F63" si="17">IF(C37&lt;&gt;"","Planned","")</f>
        <v/>
      </c>
      <c r="G37" s="1"/>
      <c r="H37" s="1" t="str">
        <f t="shared" si="1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2:32" ht="12.75" customHeight="1" x14ac:dyDescent="0.2">
      <c r="D38" s="1"/>
      <c r="F38" s="21" t="str">
        <f t="shared" si="17"/>
        <v/>
      </c>
      <c r="G38" s="1"/>
      <c r="H38" s="1" t="str">
        <f t="shared" si="1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2:32" ht="12.75" customHeight="1" x14ac:dyDescent="0.2">
      <c r="D39" s="1"/>
      <c r="F39" s="21" t="str">
        <f t="shared" si="17"/>
        <v/>
      </c>
      <c r="G39" s="1"/>
      <c r="H39" s="1" t="str">
        <f t="shared" si="1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2:32" ht="12.75" customHeight="1" x14ac:dyDescent="0.2">
      <c r="D40" s="1"/>
      <c r="F40" s="21" t="str">
        <f t="shared" si="17"/>
        <v/>
      </c>
      <c r="G40" s="1"/>
      <c r="H40" s="1" t="str">
        <f t="shared" si="1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2:32" ht="12.75" customHeight="1" x14ac:dyDescent="0.2">
      <c r="D41" s="1"/>
      <c r="F41" s="21" t="str">
        <f t="shared" si="17"/>
        <v/>
      </c>
      <c r="G41" s="1"/>
      <c r="H41" s="1" t="str">
        <f t="shared" si="1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2:32" ht="12.75" customHeight="1" x14ac:dyDescent="0.2">
      <c r="D42" s="1"/>
      <c r="F42" s="21" t="str">
        <f t="shared" si="17"/>
        <v/>
      </c>
      <c r="G42" s="1"/>
      <c r="H42" s="1" t="str">
        <f t="shared" si="1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2:32" ht="12.75" customHeight="1" x14ac:dyDescent="0.2">
      <c r="D43" s="1"/>
      <c r="F43" s="21" t="str">
        <f t="shared" si="17"/>
        <v/>
      </c>
      <c r="G43" s="1"/>
      <c r="H43" s="1" t="str">
        <f t="shared" si="1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2:32" ht="12.75" customHeight="1" x14ac:dyDescent="0.2">
      <c r="D44" s="1"/>
      <c r="F44" s="21" t="str">
        <f t="shared" si="17"/>
        <v/>
      </c>
      <c r="G44" s="1"/>
      <c r="H44" s="1" t="str">
        <f t="shared" si="1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2:32" ht="12.75" customHeight="1" x14ac:dyDescent="0.2">
      <c r="D45" s="1"/>
      <c r="F45" s="21" t="str">
        <f t="shared" si="17"/>
        <v/>
      </c>
      <c r="G45" s="1"/>
      <c r="H45" s="1" t="str">
        <f t="shared" si="1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2:32" ht="12.75" customHeight="1" x14ac:dyDescent="0.2">
      <c r="D46" s="1"/>
      <c r="F46" s="21" t="str">
        <f t="shared" si="17"/>
        <v/>
      </c>
      <c r="G46" s="1"/>
      <c r="H46" s="1" t="str">
        <f t="shared" si="1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2:32" ht="12.75" customHeight="1" x14ac:dyDescent="0.2">
      <c r="D47" s="1"/>
      <c r="F47" s="21" t="str">
        <f t="shared" si="17"/>
        <v/>
      </c>
      <c r="G47" s="1"/>
      <c r="H47" s="1" t="str">
        <f t="shared" si="1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2:32" ht="12.75" customHeight="1" x14ac:dyDescent="0.2">
      <c r="D48" s="1"/>
      <c r="F48" s="21" t="str">
        <f t="shared" si="17"/>
        <v/>
      </c>
      <c r="G48" s="1"/>
      <c r="H48" s="1" t="str">
        <f t="shared" si="1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7"/>
        <v/>
      </c>
      <c r="G49" s="1"/>
      <c r="H49" s="1" t="str">
        <f t="shared" si="1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7"/>
        <v/>
      </c>
      <c r="G50" s="1"/>
      <c r="H50" s="1" t="str">
        <f t="shared" si="1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7"/>
        <v/>
      </c>
      <c r="G51" s="1"/>
      <c r="H51" s="1" t="str">
        <f t="shared" si="1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7"/>
        <v/>
      </c>
      <c r="G52" s="1"/>
      <c r="H52" s="1" t="str">
        <f t="shared" si="1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7"/>
        <v/>
      </c>
      <c r="G53" s="1"/>
      <c r="H53" s="1" t="str">
        <f t="shared" si="1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7"/>
        <v/>
      </c>
      <c r="G54" s="1"/>
      <c r="H54" s="1" t="str">
        <f t="shared" si="1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7"/>
        <v/>
      </c>
      <c r="G55" s="1"/>
      <c r="H55" s="1" t="str">
        <f t="shared" si="1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7"/>
        <v/>
      </c>
      <c r="G56" s="1"/>
      <c r="H56" s="1" t="str">
        <f t="shared" si="1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7"/>
        <v/>
      </c>
      <c r="G57" s="1"/>
      <c r="H57" s="1" t="str">
        <f t="shared" si="1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7"/>
        <v/>
      </c>
      <c r="G58" s="1"/>
      <c r="H58" s="1" t="str">
        <f t="shared" si="1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7"/>
        <v/>
      </c>
      <c r="G59" s="1"/>
      <c r="H59" s="1" t="str">
        <f t="shared" si="1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7"/>
        <v/>
      </c>
      <c r="G60" s="1"/>
      <c r="H60" s="1" t="str">
        <f t="shared" si="1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7"/>
        <v/>
      </c>
      <c r="G61" s="1"/>
      <c r="H61" s="1" t="str">
        <f t="shared" si="1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7"/>
        <v/>
      </c>
      <c r="G62" s="1"/>
      <c r="H62" s="1" t="str">
        <f t="shared" si="1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7"/>
        <v/>
      </c>
      <c r="G63" s="1"/>
      <c r="H63" s="1" t="str">
        <f t="shared" si="1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1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41</v>
      </c>
      <c r="G65" s="1"/>
      <c r="H65" s="1" t="str">
        <f t="shared" si="1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42</v>
      </c>
      <c r="G66" s="1"/>
      <c r="H66" s="1" t="str">
        <f t="shared" si="1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7" priority="3" stopIfTrue="1">
      <formula>$F22="Terminado"</formula>
    </cfRule>
    <cfRule type="expression" dxfId="6" priority="4" stopIfTrue="1">
      <formula>$F22="En Progreso"</formula>
    </cfRule>
  </conditionalFormatting>
  <conditionalFormatting sqref="L22:AF25 C26:AF65">
    <cfRule type="expression" dxfId="5" priority="1" stopIfTrue="1">
      <formula>$F22="Done"</formula>
    </cfRule>
    <cfRule type="expression" dxfId="4" priority="2" stopIfTrue="1">
      <formula>$F22="Ongoing"</formula>
    </cfRule>
  </conditionalFormatting>
  <dataValidations count="1">
    <dataValidation type="list" allowBlank="1" sqref="F10:F15 F22:F71" xr:uid="{00000000-0002-0000-01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000"/>
  <sheetViews>
    <sheetView workbookViewId="0">
      <selection activeCell="H22" sqref="H22"/>
    </sheetView>
  </sheetViews>
  <sheetFormatPr baseColWidth="10" defaultColWidth="12.7109375" defaultRowHeight="15" customHeight="1" x14ac:dyDescent="0.2"/>
  <cols>
    <col min="1" max="1" width="3.28515625" customWidth="1"/>
    <col min="2" max="2" width="9.140625" customWidth="1"/>
    <col min="3" max="3" width="38.28515625" customWidth="1"/>
    <col min="4" max="4" width="10.7109375" customWidth="1"/>
    <col min="5" max="5" width="13.7109375" customWidth="1"/>
    <col min="6" max="6" width="10.85546875" customWidth="1"/>
    <col min="7" max="7" width="9.7109375" customWidth="1"/>
    <col min="8" max="32" width="4.28515625" customWidth="1"/>
    <col min="33" max="33" width="9.140625" customWidth="1"/>
  </cols>
  <sheetData>
    <row r="1" spans="1:33" ht="12.75" customHeight="1" x14ac:dyDescent="0.2">
      <c r="D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</row>
    <row r="2" spans="1:33" ht="10.5" customHeight="1" x14ac:dyDescent="0.2">
      <c r="B2" s="2"/>
      <c r="C2" s="3"/>
      <c r="D2" s="4"/>
      <c r="E2" s="5"/>
      <c r="F2" s="5"/>
      <c r="G2" s="5"/>
      <c r="H2" s="5"/>
      <c r="I2" s="4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4"/>
      <c r="W2" s="5"/>
      <c r="X2" s="5"/>
      <c r="Y2" s="5"/>
      <c r="Z2" s="5"/>
      <c r="AA2" s="5"/>
      <c r="AB2" s="5"/>
      <c r="AC2" s="5"/>
      <c r="AD2" s="5"/>
      <c r="AE2" s="5"/>
      <c r="AF2" s="6"/>
    </row>
    <row r="3" spans="1:33" ht="15" customHeight="1" x14ac:dyDescent="0.2">
      <c r="B3" s="7"/>
      <c r="C3" s="8" t="s">
        <v>0</v>
      </c>
      <c r="D3" s="36"/>
      <c r="E3" s="34"/>
      <c r="F3" s="34"/>
      <c r="G3" s="34"/>
      <c r="H3" s="35"/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9"/>
      <c r="W3" s="10"/>
      <c r="X3" s="10"/>
      <c r="Y3" s="10"/>
      <c r="Z3" s="10"/>
      <c r="AA3" s="10"/>
      <c r="AB3" s="10"/>
      <c r="AC3" s="10"/>
      <c r="AD3" s="10"/>
      <c r="AE3" s="10"/>
      <c r="AF3" s="11"/>
    </row>
    <row r="4" spans="1:33" ht="15" customHeight="1" x14ac:dyDescent="0.2">
      <c r="B4" s="7"/>
      <c r="C4" s="8" t="s">
        <v>2</v>
      </c>
      <c r="D4" s="36"/>
      <c r="E4" s="34"/>
      <c r="F4" s="34"/>
      <c r="G4" s="34"/>
      <c r="H4" s="35"/>
      <c r="I4" s="9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9"/>
      <c r="W4" s="10"/>
      <c r="X4" s="10"/>
      <c r="Y4" s="10"/>
      <c r="Z4" s="10"/>
      <c r="AA4" s="10"/>
      <c r="AB4" s="10"/>
      <c r="AC4" s="10"/>
      <c r="AD4" s="10"/>
      <c r="AE4" s="10"/>
      <c r="AF4" s="11"/>
    </row>
    <row r="5" spans="1:33" ht="15" customHeight="1" x14ac:dyDescent="0.2">
      <c r="B5" s="7"/>
      <c r="C5" s="8" t="s">
        <v>4</v>
      </c>
      <c r="D5" s="36"/>
      <c r="E5" s="34"/>
      <c r="F5" s="34"/>
      <c r="G5" s="34"/>
      <c r="H5" s="35"/>
      <c r="I5" s="9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9"/>
      <c r="W5" s="10"/>
      <c r="X5" s="10"/>
      <c r="Y5" s="10"/>
      <c r="Z5" s="10"/>
      <c r="AA5" s="10"/>
      <c r="AB5" s="10"/>
      <c r="AC5" s="10"/>
      <c r="AD5" s="10"/>
      <c r="AE5" s="10"/>
      <c r="AF5" s="11"/>
    </row>
    <row r="6" spans="1:33" ht="15" customHeight="1" x14ac:dyDescent="0.2">
      <c r="B6" s="12"/>
      <c r="C6" s="13"/>
      <c r="D6" s="14"/>
      <c r="E6" s="14"/>
      <c r="F6" s="14"/>
      <c r="G6" s="14"/>
      <c r="H6" s="14"/>
      <c r="I6" s="15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5"/>
      <c r="W6" s="16"/>
      <c r="X6" s="16"/>
      <c r="Y6" s="16"/>
      <c r="Z6" s="16"/>
      <c r="AA6" s="16"/>
      <c r="AB6" s="16"/>
      <c r="AC6" s="16"/>
      <c r="AD6" s="16"/>
      <c r="AE6" s="16"/>
      <c r="AF6" s="17"/>
    </row>
    <row r="7" spans="1:33" ht="10.5" customHeight="1" x14ac:dyDescent="0.2">
      <c r="A7" s="20"/>
      <c r="B7" s="30"/>
      <c r="C7" s="20"/>
      <c r="D7" s="31"/>
      <c r="E7" s="31"/>
      <c r="F7" s="31"/>
      <c r="G7" s="31"/>
      <c r="H7" s="31"/>
      <c r="I7" s="30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0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20"/>
    </row>
    <row r="8" spans="1:33" ht="12.75" customHeight="1" x14ac:dyDescent="0.25">
      <c r="A8" s="20"/>
      <c r="B8" s="20"/>
      <c r="C8" s="18">
        <v>1</v>
      </c>
      <c r="D8" s="19"/>
      <c r="E8" s="20"/>
      <c r="F8" s="20"/>
      <c r="G8" s="20"/>
      <c r="H8" s="20"/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</row>
    <row r="9" spans="1:33" ht="12.75" customHeight="1" x14ac:dyDescent="0.2">
      <c r="D9" s="1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</row>
    <row r="10" spans="1:33" ht="12.75" customHeight="1" x14ac:dyDescent="0.2">
      <c r="D10" s="1"/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</row>
    <row r="11" spans="1:33" ht="12.75" customHeight="1" x14ac:dyDescent="0.2">
      <c r="D11" s="1"/>
      <c r="F11" s="2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</row>
    <row r="12" spans="1:33" ht="12.75" customHeight="1" x14ac:dyDescent="0.2">
      <c r="D12" s="1"/>
      <c r="F12" s="2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</row>
    <row r="13" spans="1:33" ht="12.75" customHeight="1" x14ac:dyDescent="0.2">
      <c r="D13" s="1"/>
      <c r="F13" s="2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</row>
    <row r="14" spans="1:33" ht="12.75" customHeight="1" x14ac:dyDescent="0.2">
      <c r="D14" s="1"/>
      <c r="F14" s="2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</row>
    <row r="15" spans="1:33" ht="12.75" customHeight="1" x14ac:dyDescent="0.2">
      <c r="D15" s="1"/>
      <c r="F15" s="2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</row>
    <row r="16" spans="1:33" ht="12.75" customHeight="1" x14ac:dyDescent="0.2">
      <c r="B16" s="22"/>
      <c r="C16" s="22" t="s">
        <v>6</v>
      </c>
      <c r="D16" s="1"/>
      <c r="E16" s="22"/>
      <c r="F16" s="23"/>
      <c r="G16" s="22" t="s">
        <v>7</v>
      </c>
      <c r="H16" s="22" t="s">
        <v>8</v>
      </c>
      <c r="I16" s="22"/>
      <c r="J16" s="22"/>
      <c r="K16" s="22"/>
      <c r="L16" s="22"/>
      <c r="M16" s="22"/>
      <c r="N16" s="22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2:32" ht="12.75" customHeight="1" x14ac:dyDescent="0.2">
      <c r="B17" s="22"/>
      <c r="C17" s="22" t="s">
        <v>9</v>
      </c>
      <c r="D17" s="1"/>
      <c r="E17" s="22" t="s">
        <v>10</v>
      </c>
      <c r="F17" s="22" t="s">
        <v>11</v>
      </c>
      <c r="G17" s="24">
        <f ca="1">SUM(OFFSET(G21,1,0,'Plantilla Sprint'!TaskRows,1))</f>
        <v>0</v>
      </c>
      <c r="H17" s="24">
        <f ca="1">IF(AND(SUM(OFFSET(H21,1,0,'Plantilla Sprint'!TaskRows,1))=0),0,SUM(OFFSET(H21,1,0,'Plantilla Sprint'!TaskRows,1)))</f>
        <v>0</v>
      </c>
      <c r="I17" s="24" t="str">
        <f ca="1">IF(AND(SUM(OFFSET(I21,1,0,'Plantilla Sprint'!TaskRows,1))=0),"",SUM(OFFSET(I21,1,0,'Plantilla Sprint'!TaskRows,1)))</f>
        <v/>
      </c>
      <c r="J17" s="24" t="str">
        <f ca="1">IF(AND(SUM(OFFSET(J21,1,0,'Plantilla Sprint'!TaskRows,1))=0),"",SUM(OFFSET(J21,1,0,'Plantilla Sprint'!TaskRows,1)))</f>
        <v/>
      </c>
      <c r="K17" s="24" t="str">
        <f ca="1">IF(AND(SUM(OFFSET(K21,1,0,'Plantilla Sprint'!TaskRows,1))=0),"",SUM(OFFSET(K21,1,0,'Plantilla Sprint'!TaskRows,1)))</f>
        <v/>
      </c>
      <c r="L17" s="24" t="str">
        <f ca="1">IF(AND(SUM(OFFSET(L21,1,0,'Plantilla Sprint'!TaskRows,1))=0),"",SUM(OFFSET(L21,1,0,'Plantilla Sprint'!TaskRows,1)))</f>
        <v/>
      </c>
      <c r="M17" s="24" t="str">
        <f ca="1">IF(AND(SUM(OFFSET(M21,1,0,'Plantilla Sprint'!TaskRows,1))=0),"",SUM(OFFSET(M21,1,0,'Plantilla Sprint'!TaskRows,1)))</f>
        <v/>
      </c>
      <c r="N17" s="24" t="str">
        <f ca="1">IF(AND(SUM(OFFSET(N21,1,0,'Plantilla Sprint'!TaskRows,1))=0),"",SUM(OFFSET(N21,1,0,'Plantilla Sprint'!TaskRows,1)))</f>
        <v/>
      </c>
      <c r="O17" s="24" t="str">
        <f ca="1">IF(AND(SUM(OFFSET(O21,1,0,'Plantilla Sprint'!TaskRows,1))=0),"",SUM(OFFSET(O21,1,0,'Plantilla Sprint'!TaskRows,1)))</f>
        <v/>
      </c>
      <c r="P17" s="24" t="str">
        <f ca="1">IF(AND(SUM(OFFSET(P21,1,0,'Plantilla Sprint'!TaskRows,1))=0),"",SUM(OFFSET(P21,1,0,'Plantilla Sprint'!TaskRows,1)))</f>
        <v/>
      </c>
      <c r="Q17" s="24" t="str">
        <f ca="1">IF(AND(SUM(OFFSET(Q21,1,0,'Plantilla Sprint'!TaskRows,1))=0),"",SUM(OFFSET(Q21,1,0,'Plantilla Sprint'!TaskRows,1)))</f>
        <v/>
      </c>
      <c r="R17" s="24" t="str">
        <f ca="1">IF(AND(SUM(OFFSET(R21,1,0,'Plantilla Sprint'!TaskRows,1))=0),"",SUM(OFFSET(R21,1,0,'Plantilla Sprint'!TaskRows,1)))</f>
        <v/>
      </c>
      <c r="S17" s="24" t="str">
        <f ca="1">IF(AND(SUM(OFFSET(S21,1,0,'Plantilla Sprint'!TaskRows,1))=0),"",SUM(OFFSET(S21,1,0,'Plantilla Sprint'!TaskRows,1)))</f>
        <v/>
      </c>
      <c r="T17" s="24" t="str">
        <f ca="1">IF(AND(SUM(OFFSET(T21,1,0,'Plantilla Sprint'!TaskRows,1))=0),"",SUM(OFFSET(T21,1,0,'Plantilla Sprint'!TaskRows,1)))</f>
        <v/>
      </c>
      <c r="U17" s="24" t="str">
        <f ca="1">IF(AND(SUM(OFFSET(U21,1,0,'Plantilla Sprint'!TaskRows,1))=0),"",SUM(OFFSET(U21,1,0,'Plantilla Sprint'!TaskRows,1)))</f>
        <v/>
      </c>
      <c r="V17" s="24" t="str">
        <f ca="1">IF(AND(SUM(OFFSET(V21,1,0,'Plantilla Sprint'!TaskRows,1))=0),"",SUM(OFFSET(V21,1,0,'Plantilla Sprint'!TaskRows,1)))</f>
        <v/>
      </c>
      <c r="W17" s="24" t="str">
        <f ca="1">IF(AND(SUM(OFFSET(W21,1,0,'Plantilla Sprint'!TaskRows,1))=0),"",SUM(OFFSET(W21,1,0,'Plantilla Sprint'!TaskRows,1)))</f>
        <v/>
      </c>
      <c r="X17" s="24" t="str">
        <f ca="1">IF(AND(SUM(OFFSET(X21,1,0,'Plantilla Sprint'!TaskRows,1))=0),"",SUM(OFFSET(X21,1,0,'Plantilla Sprint'!TaskRows,1)))</f>
        <v/>
      </c>
      <c r="Y17" s="24" t="str">
        <f ca="1">IF(AND(SUM(OFFSET(Y21,1,0,'Plantilla Sprint'!TaskRows,1))=0),"",SUM(OFFSET(Y21,1,0,'Plantilla Sprint'!TaskRows,1)))</f>
        <v/>
      </c>
      <c r="Z17" s="24" t="str">
        <f ca="1">IF(AND(SUM(OFFSET(Z21,1,0,'Plantilla Sprint'!TaskRows,1))=0),"",SUM(OFFSET(Z21,1,0,'Plantilla Sprint'!TaskRows,1)))</f>
        <v/>
      </c>
      <c r="AA17" s="24" t="str">
        <f ca="1">IF(AND(SUM(OFFSET(AA21,1,0,'Plantilla Sprint'!TaskRows,1))=0),"",SUM(OFFSET(AA21,1,0,'Plantilla Sprint'!TaskRows,1)))</f>
        <v/>
      </c>
      <c r="AB17" s="24" t="str">
        <f ca="1">IF(AND(SUM(OFFSET(AB21,1,0,'Plantilla Sprint'!TaskRows,1))=0),"",SUM(OFFSET(AB21,1,0,'Plantilla Sprint'!TaskRows,1)))</f>
        <v/>
      </c>
      <c r="AC17" s="24" t="str">
        <f ca="1">IF(AND(SUM(OFFSET(AC21,1,0,'Plantilla Sprint'!TaskRows,1))=0),"",SUM(OFFSET(AC21,1,0,'Plantilla Sprint'!TaskRows,1)))</f>
        <v/>
      </c>
      <c r="AD17" s="24" t="str">
        <f ca="1">IF(AND(SUM(OFFSET(AD21,1,0,'Plantilla Sprint'!TaskRows,1))=0),"",SUM(OFFSET(AD21,1,0,'Plantilla Sprint'!TaskRows,1)))</f>
        <v/>
      </c>
      <c r="AE17" s="24" t="str">
        <f ca="1">IF(AND(SUM(OFFSET(AE21,1,0,'Plantilla Sprint'!TaskRows,1))=0),"",SUM(OFFSET(AE21,1,0,'Plantilla Sprint'!TaskRows,1)))</f>
        <v/>
      </c>
      <c r="AF17" s="24" t="str">
        <f ca="1">IF(AND(SUM(OFFSET(AF21,1,0,'Plantilla Sprint'!TaskRows,1))=0),"",SUM(OFFSET(AF21,1,0,'Plantilla Sprint'!TaskRows,1)))</f>
        <v/>
      </c>
    </row>
    <row r="18" spans="2:32" ht="12.75" hidden="1" customHeight="1" x14ac:dyDescent="0.2">
      <c r="C18" s="21" t="s">
        <v>12</v>
      </c>
      <c r="D18" s="1">
        <f>IF(COUNTA(C22:C249)=0,1,COUNTA(C22:C249))</f>
        <v>1</v>
      </c>
      <c r="E18" s="21" t="s">
        <v>13</v>
      </c>
      <c r="F18" s="1">
        <f ca="1">IF(COUNTIF(H17:AF17,"&gt;0")=0,1,COUNTIF(H17:AF17,"&gt;0"))</f>
        <v>1</v>
      </c>
      <c r="G18" s="1"/>
      <c r="H18" s="1">
        <f ca="1">IF(H21="","",$G17-$G17/($D16-1)*(H21-1))</f>
        <v>0</v>
      </c>
      <c r="I18" s="1" t="str">
        <f>IF(I21="","",'Plantilla Sprint'!TotalEffort-'Plantilla Sprint'!TotalEffort/('Plantilla Sprint'!ImplementationDays)*(I21-1))</f>
        <v/>
      </c>
      <c r="J18" s="1" t="str">
        <f>IF(J21="","",'Plantilla Sprint'!TotalEffort-'Plantilla Sprint'!TotalEffort/('Plantilla Sprint'!ImplementationDays)*(J21-1))</f>
        <v/>
      </c>
      <c r="K18" s="1" t="str">
        <f>IF(K21="","",'Plantilla Sprint'!TotalEffort-'Plantilla Sprint'!TotalEffort/('Plantilla Sprint'!ImplementationDays)*(K21-1))</f>
        <v/>
      </c>
      <c r="L18" s="1" t="str">
        <f>IF(L21="","",'Plantilla Sprint'!TotalEffort-'Plantilla Sprint'!TotalEffort/('Plantilla Sprint'!ImplementationDays)*(L21-1))</f>
        <v/>
      </c>
      <c r="M18" s="1" t="str">
        <f>IF(M21="","",'Plantilla Sprint'!TotalEffort-'Plantilla Sprint'!TotalEffort/('Plantilla Sprint'!ImplementationDays)*(M21-1))</f>
        <v/>
      </c>
      <c r="N18" s="1" t="str">
        <f>IF(N21="","",'Plantilla Sprint'!TotalEffort-'Plantilla Sprint'!TotalEffort/('Plantilla Sprint'!ImplementationDays)*(N21-1))</f>
        <v/>
      </c>
      <c r="O18" s="1" t="str">
        <f>IF(O21="","",'Plantilla Sprint'!TotalEffort-'Plantilla Sprint'!TotalEffort/('Plantilla Sprint'!ImplementationDays)*(O21-1))</f>
        <v/>
      </c>
      <c r="P18" s="1" t="str">
        <f>IF(P21="","",'Plantilla Sprint'!TotalEffort-'Plantilla Sprint'!TotalEffort/('Plantilla Sprint'!ImplementationDays)*(P21-1))</f>
        <v/>
      </c>
      <c r="Q18" s="1" t="str">
        <f>IF(Q21="","",'Plantilla Sprint'!TotalEffort-'Plantilla Sprint'!TotalEffort/('Plantilla Sprint'!ImplementationDays)*(Q21-1))</f>
        <v/>
      </c>
      <c r="R18" s="1" t="str">
        <f>IF(R21="","",'Plantilla Sprint'!TotalEffort-'Plantilla Sprint'!TotalEffort/('Plantilla Sprint'!ImplementationDays)*(R21-1))</f>
        <v/>
      </c>
      <c r="S18" s="1" t="str">
        <f>IF(S21="","",'Plantilla Sprint'!TotalEffort-'Plantilla Sprint'!TotalEffort/('Plantilla Sprint'!ImplementationDays)*(S21-1))</f>
        <v/>
      </c>
      <c r="T18" s="1" t="str">
        <f>IF(T21="","",'Plantilla Sprint'!TotalEffort-'Plantilla Sprint'!TotalEffort/('Plantilla Sprint'!ImplementationDays)*(T21-1))</f>
        <v/>
      </c>
      <c r="U18" s="1" t="str">
        <f>IF(U21="","",'Plantilla Sprint'!TotalEffort-'Plantilla Sprint'!TotalEffort/('Plantilla Sprint'!ImplementationDays)*(U21-1))</f>
        <v/>
      </c>
      <c r="V18" s="1" t="str">
        <f>IF(V21="","",'Plantilla Sprint'!TotalEffort-'Plantilla Sprint'!TotalEffort/('Plantilla Sprint'!ImplementationDays)*(V21-1))</f>
        <v/>
      </c>
      <c r="W18" s="1" t="str">
        <f>IF(W21="","",'Plantilla Sprint'!TotalEffort-'Plantilla Sprint'!TotalEffort/('Plantilla Sprint'!ImplementationDays)*(W21-1))</f>
        <v/>
      </c>
      <c r="X18" s="1" t="str">
        <f>IF(X21="","",'Plantilla Sprint'!TotalEffort-'Plantilla Sprint'!TotalEffort/('Plantilla Sprint'!ImplementationDays)*(X21-1))</f>
        <v/>
      </c>
      <c r="Y18" s="1" t="str">
        <f>IF(Y21="","",'Plantilla Sprint'!TotalEffort-'Plantilla Sprint'!TotalEffort/('Plantilla Sprint'!ImplementationDays)*(Y21-1))</f>
        <v/>
      </c>
      <c r="Z18" s="1" t="str">
        <f>IF(Z21="","",'Plantilla Sprint'!TotalEffort-'Plantilla Sprint'!TotalEffort/('Plantilla Sprint'!ImplementationDays)*(Z21-1))</f>
        <v/>
      </c>
      <c r="AA18" s="1" t="str">
        <f>IF(AA21="","",'Plantilla Sprint'!TotalEffort-'Plantilla Sprint'!TotalEffort/('Plantilla Sprint'!ImplementationDays)*(AA21-1))</f>
        <v/>
      </c>
      <c r="AB18" s="1" t="str">
        <f>IF(AB21="","",'Plantilla Sprint'!TotalEffort-'Plantilla Sprint'!TotalEffort/('Plantilla Sprint'!ImplementationDays)*(AB21-1))</f>
        <v/>
      </c>
      <c r="AC18" s="1" t="str">
        <f>IF(AC21="","",'Plantilla Sprint'!TotalEffort-'Plantilla Sprint'!TotalEffort/('Plantilla Sprint'!ImplementationDays)*(AC21-1))</f>
        <v/>
      </c>
      <c r="AD18" s="1" t="str">
        <f>IF(AD21="","",'Plantilla Sprint'!TotalEffort-'Plantilla Sprint'!TotalEffort/('Plantilla Sprint'!ImplementationDays)*(AD21-1))</f>
        <v/>
      </c>
      <c r="AE18" s="1" t="str">
        <f>IF(AE21="","",'Plantilla Sprint'!TotalEffort-'Plantilla Sprint'!TotalEffort/('Plantilla Sprint'!ImplementationDays)*(AE21-1))</f>
        <v/>
      </c>
      <c r="AF18" s="1" t="str">
        <f>IF(AF21="","",'Plantilla Sprint'!TotalEffort-'Plantilla Sprint'!TotalEffort/('Plantilla Sprint'!ImplementationDays)*(AF21-1))</f>
        <v/>
      </c>
    </row>
    <row r="19" spans="2:32" ht="12.75" hidden="1" customHeight="1" x14ac:dyDescent="0.2">
      <c r="C19" s="25" t="s">
        <v>14</v>
      </c>
      <c r="E19" s="21" t="s">
        <v>15</v>
      </c>
      <c r="F19" s="1"/>
      <c r="G19" s="1"/>
      <c r="H19" s="1" t="e">
        <f t="array" aca="1" ref="H19" ca="1">IF(TREND(OFFSET($H17,0,'Plantilla Sprint'!DoneDays-'Plantilla Sprint'!TrendDays,1,'Plantilla Sprint'!TrendDays),OFFSET($H20,0,'Plantilla Sprint'!DoneDays-'Plantilla Sprint'!TrendDays,1,'Plantilla Sprint'!TrendDays),H20)&lt;0,"",TREND(OFFSET($H17,0,'Plantilla Sprint'!DoneDays-'Plantilla Sprint'!TrendDays,1,'Plantilla Sprint'!TrendDays),OFFSET($H20,0,'Plantilla Sprint'!DoneDays-'Plantilla Sprint'!TrendDays,1,'Plantilla Sprint'!TrendDays),H20))</f>
        <v>#REF!</v>
      </c>
      <c r="I19" s="1" t="e">
        <f t="array" aca="1" ref="I19" ca="1">IF(TREND(OFFSET($H17,0,'Plantilla Sprint'!DoneDays-'Plantilla Sprint'!TrendDays,1,'Plantilla Sprint'!TrendDays),OFFSET($H20,0,'Plantilla Sprint'!DoneDays-'Plantilla Sprint'!TrendDays,1,'Plantilla Sprint'!TrendDays),I20)&lt;0,"",TREND(OFFSET($H17,0,'Plantilla Sprint'!DoneDays-'Plantilla Sprint'!TrendDays,1,'Plantilla Sprint'!TrendDays),OFFSET($H20,0,'Plantilla Sprint'!DoneDays-'Plantilla Sprint'!TrendDays,1,'Plantilla Sprint'!TrendDays),I20))</f>
        <v>#REF!</v>
      </c>
      <c r="J19" s="1" t="e">
        <f t="array" aca="1" ref="J19" ca="1">IF(TREND(OFFSET($H17,0,'Plantilla Sprint'!DoneDays-'Plantilla Sprint'!TrendDays,1,'Plantilla Sprint'!TrendDays),OFFSET($H20,0,'Plantilla Sprint'!DoneDays-'Plantilla Sprint'!TrendDays,1,'Plantilla Sprint'!TrendDays),J20)&lt;0,"",TREND(OFFSET($H17,0,'Plantilla Sprint'!DoneDays-'Plantilla Sprint'!TrendDays,1,'Plantilla Sprint'!TrendDays),OFFSET($H20,0,'Plantilla Sprint'!DoneDays-'Plantilla Sprint'!TrendDays,1,'Plantilla Sprint'!TrendDays),J20))</f>
        <v>#REF!</v>
      </c>
      <c r="K19" s="1" t="e">
        <f t="array" aca="1" ref="K19" ca="1">IF(TREND(OFFSET($H17,0,'Plantilla Sprint'!DoneDays-'Plantilla Sprint'!TrendDays,1,'Plantilla Sprint'!TrendDays),OFFSET($H20,0,'Plantilla Sprint'!DoneDays-'Plantilla Sprint'!TrendDays,1,'Plantilla Sprint'!TrendDays),K20)&lt;0,"",TREND(OFFSET($H17,0,'Plantilla Sprint'!DoneDays-'Plantilla Sprint'!TrendDays,1,'Plantilla Sprint'!TrendDays),OFFSET($H20,0,'Plantilla Sprint'!DoneDays-'Plantilla Sprint'!TrendDays,1,'Plantilla Sprint'!TrendDays),K20))</f>
        <v>#REF!</v>
      </c>
      <c r="L19" s="1" t="e">
        <f t="array" aca="1" ref="L19" ca="1">IF(TREND(OFFSET($H17,0,'Plantilla Sprint'!DoneDays-'Plantilla Sprint'!TrendDays,1,'Plantilla Sprint'!TrendDays),OFFSET($H20,0,'Plantilla Sprint'!DoneDays-'Plantilla Sprint'!TrendDays,1,'Plantilla Sprint'!TrendDays),L20)&lt;0,"",TREND(OFFSET($H17,0,'Plantilla Sprint'!DoneDays-'Plantilla Sprint'!TrendDays,1,'Plantilla Sprint'!TrendDays),OFFSET($H20,0,'Plantilla Sprint'!DoneDays-'Plantilla Sprint'!TrendDays,1,'Plantilla Sprint'!TrendDays),L20))</f>
        <v>#REF!</v>
      </c>
      <c r="M19" s="1" t="e">
        <f t="array" aca="1" ref="M19" ca="1">IF(TREND(OFFSET($H17,0,'Plantilla Sprint'!DoneDays-'Plantilla Sprint'!TrendDays,1,'Plantilla Sprint'!TrendDays),OFFSET($H20,0,'Plantilla Sprint'!DoneDays-'Plantilla Sprint'!TrendDays,1,'Plantilla Sprint'!TrendDays),M20)&lt;0,"",TREND(OFFSET($H17,0,'Plantilla Sprint'!DoneDays-'Plantilla Sprint'!TrendDays,1,'Plantilla Sprint'!TrendDays),OFFSET($H20,0,'Plantilla Sprint'!DoneDays-'Plantilla Sprint'!TrendDays,1,'Plantilla Sprint'!TrendDays),M20))</f>
        <v>#REF!</v>
      </c>
      <c r="N19" s="1" t="e">
        <f t="array" aca="1" ref="N19" ca="1">IF(TREND(OFFSET($H17,0,'Plantilla Sprint'!DoneDays-'Plantilla Sprint'!TrendDays,1,'Plantilla Sprint'!TrendDays),OFFSET($H20,0,'Plantilla Sprint'!DoneDays-'Plantilla Sprint'!TrendDays,1,'Plantilla Sprint'!TrendDays),N20)&lt;0,"",TREND(OFFSET($H17,0,'Plantilla Sprint'!DoneDays-'Plantilla Sprint'!TrendDays,1,'Plantilla Sprint'!TrendDays),OFFSET($H20,0,'Plantilla Sprint'!DoneDays-'Plantilla Sprint'!TrendDays,1,'Plantilla Sprint'!TrendDays),N20))</f>
        <v>#REF!</v>
      </c>
      <c r="O19" s="1" t="e">
        <f t="array" aca="1" ref="O19" ca="1">IF(TREND(OFFSET($H17,0,'Plantilla Sprint'!DoneDays-'Plantilla Sprint'!TrendDays,1,'Plantilla Sprint'!TrendDays),OFFSET($H20,0,'Plantilla Sprint'!DoneDays-'Plantilla Sprint'!TrendDays,1,'Plantilla Sprint'!TrendDays),O20)&lt;0,"",TREND(OFFSET($H17,0,'Plantilla Sprint'!DoneDays-'Plantilla Sprint'!TrendDays,1,'Plantilla Sprint'!TrendDays),OFFSET($H20,0,'Plantilla Sprint'!DoneDays-'Plantilla Sprint'!TrendDays,1,'Plantilla Sprint'!TrendDays),O20))</f>
        <v>#REF!</v>
      </c>
      <c r="P19" s="1" t="e">
        <f t="array" aca="1" ref="P19" ca="1">IF(TREND(OFFSET($H17,0,'Plantilla Sprint'!DoneDays-'Plantilla Sprint'!TrendDays,1,'Plantilla Sprint'!TrendDays),OFFSET($H20,0,'Plantilla Sprint'!DoneDays-'Plantilla Sprint'!TrendDays,1,'Plantilla Sprint'!TrendDays),P20)&lt;0,"",TREND(OFFSET($H17,0,'Plantilla Sprint'!DoneDays-'Plantilla Sprint'!TrendDays,1,'Plantilla Sprint'!TrendDays),OFFSET($H20,0,'Plantilla Sprint'!DoneDays-'Plantilla Sprint'!TrendDays,1,'Plantilla Sprint'!TrendDays),P20))</f>
        <v>#REF!</v>
      </c>
      <c r="Q19" s="1" t="e">
        <f t="array" aca="1" ref="Q19" ca="1">IF(TREND(OFFSET($H17,0,'Plantilla Sprint'!DoneDays-'Plantilla Sprint'!TrendDays,1,'Plantilla Sprint'!TrendDays),OFFSET($H20,0,'Plantilla Sprint'!DoneDays-'Plantilla Sprint'!TrendDays,1,'Plantilla Sprint'!TrendDays),Q20)&lt;0,"",TREND(OFFSET($H17,0,'Plantilla Sprint'!DoneDays-'Plantilla Sprint'!TrendDays,1,'Plantilla Sprint'!TrendDays),OFFSET($H20,0,'Plantilla Sprint'!DoneDays-'Plantilla Sprint'!TrendDays,1,'Plantilla Sprint'!TrendDays),Q20))</f>
        <v>#REF!</v>
      </c>
      <c r="R19" s="1" t="e">
        <f t="array" aca="1" ref="R19" ca="1">IF(TREND(OFFSET($H17,0,'Plantilla Sprint'!DoneDays-'Plantilla Sprint'!TrendDays,1,'Plantilla Sprint'!TrendDays),OFFSET($H20,0,'Plantilla Sprint'!DoneDays-'Plantilla Sprint'!TrendDays,1,'Plantilla Sprint'!TrendDays),R20)&lt;0,"",TREND(OFFSET($H17,0,'Plantilla Sprint'!DoneDays-'Plantilla Sprint'!TrendDays,1,'Plantilla Sprint'!TrendDays),OFFSET($H20,0,'Plantilla Sprint'!DoneDays-'Plantilla Sprint'!TrendDays,1,'Plantilla Sprint'!TrendDays),R20))</f>
        <v>#REF!</v>
      </c>
      <c r="S19" s="1" t="e">
        <f t="array" aca="1" ref="S19" ca="1">IF(TREND(OFFSET($H17,0,'Plantilla Sprint'!DoneDays-'Plantilla Sprint'!TrendDays,1,'Plantilla Sprint'!TrendDays),OFFSET($H20,0,'Plantilla Sprint'!DoneDays-'Plantilla Sprint'!TrendDays,1,'Plantilla Sprint'!TrendDays),S20)&lt;0,"",TREND(OFFSET($H17,0,'Plantilla Sprint'!DoneDays-'Plantilla Sprint'!TrendDays,1,'Plantilla Sprint'!TrendDays),OFFSET($H20,0,'Plantilla Sprint'!DoneDays-'Plantilla Sprint'!TrendDays,1,'Plantilla Sprint'!TrendDays),S20))</f>
        <v>#REF!</v>
      </c>
      <c r="T19" s="1" t="e">
        <f t="array" aca="1" ref="T19" ca="1">IF(TREND(OFFSET($H17,0,'Plantilla Sprint'!DoneDays-'Plantilla Sprint'!TrendDays,1,'Plantilla Sprint'!TrendDays),OFFSET($H20,0,'Plantilla Sprint'!DoneDays-'Plantilla Sprint'!TrendDays,1,'Plantilla Sprint'!TrendDays),T20)&lt;0,"",TREND(OFFSET($H17,0,'Plantilla Sprint'!DoneDays-'Plantilla Sprint'!TrendDays,1,'Plantilla Sprint'!TrendDays),OFFSET($H20,0,'Plantilla Sprint'!DoneDays-'Plantilla Sprint'!TrendDays,1,'Plantilla Sprint'!TrendDays),T20))</f>
        <v>#REF!</v>
      </c>
      <c r="U19" s="1" t="e">
        <f t="array" aca="1" ref="U19" ca="1">IF(TREND(OFFSET($H17,0,'Plantilla Sprint'!DoneDays-'Plantilla Sprint'!TrendDays,1,'Plantilla Sprint'!TrendDays),OFFSET($H20,0,'Plantilla Sprint'!DoneDays-'Plantilla Sprint'!TrendDays,1,'Plantilla Sprint'!TrendDays),U20)&lt;0,"",TREND(OFFSET($H17,0,'Plantilla Sprint'!DoneDays-'Plantilla Sprint'!TrendDays,1,'Plantilla Sprint'!TrendDays),OFFSET($H20,0,'Plantilla Sprint'!DoneDays-'Plantilla Sprint'!TrendDays,1,'Plantilla Sprint'!TrendDays),U20))</f>
        <v>#REF!</v>
      </c>
      <c r="V19" s="1" t="e">
        <f t="array" aca="1" ref="V19" ca="1">IF(TREND(OFFSET($H17,0,'Plantilla Sprint'!DoneDays-'Plantilla Sprint'!TrendDays,1,'Plantilla Sprint'!TrendDays),OFFSET($H20,0,'Plantilla Sprint'!DoneDays-'Plantilla Sprint'!TrendDays,1,'Plantilla Sprint'!TrendDays),V20)&lt;0,"",TREND(OFFSET($H17,0,'Plantilla Sprint'!DoneDays-'Plantilla Sprint'!TrendDays,1,'Plantilla Sprint'!TrendDays),OFFSET($H20,0,'Plantilla Sprint'!DoneDays-'Plantilla Sprint'!TrendDays,1,'Plantilla Sprint'!TrendDays),V20))</f>
        <v>#REF!</v>
      </c>
      <c r="W19" s="1" t="e">
        <f t="array" aca="1" ref="W19" ca="1">IF(TREND(OFFSET($H17,0,'Plantilla Sprint'!DoneDays-'Plantilla Sprint'!TrendDays,1,'Plantilla Sprint'!TrendDays),OFFSET($H20,0,'Plantilla Sprint'!DoneDays-'Plantilla Sprint'!TrendDays,1,'Plantilla Sprint'!TrendDays),W20)&lt;0,"",TREND(OFFSET($H17,0,'Plantilla Sprint'!DoneDays-'Plantilla Sprint'!TrendDays,1,'Plantilla Sprint'!TrendDays),OFFSET($H20,0,'Plantilla Sprint'!DoneDays-'Plantilla Sprint'!TrendDays,1,'Plantilla Sprint'!TrendDays),W20))</f>
        <v>#REF!</v>
      </c>
      <c r="X19" s="1" t="e">
        <f t="array" aca="1" ref="X19" ca="1">IF(TREND(OFFSET($H17,0,'Plantilla Sprint'!DoneDays-'Plantilla Sprint'!TrendDays,1,'Plantilla Sprint'!TrendDays),OFFSET($H20,0,'Plantilla Sprint'!DoneDays-'Plantilla Sprint'!TrendDays,1,'Plantilla Sprint'!TrendDays),X20)&lt;0,"",TREND(OFFSET($H17,0,'Plantilla Sprint'!DoneDays-'Plantilla Sprint'!TrendDays,1,'Plantilla Sprint'!TrendDays),OFFSET($H20,0,'Plantilla Sprint'!DoneDays-'Plantilla Sprint'!TrendDays,1,'Plantilla Sprint'!TrendDays),X20))</f>
        <v>#REF!</v>
      </c>
      <c r="Y19" s="1" t="e">
        <f t="array" aca="1" ref="Y19" ca="1">IF(TREND(OFFSET($H17,0,'Plantilla Sprint'!DoneDays-'Plantilla Sprint'!TrendDays,1,'Plantilla Sprint'!TrendDays),OFFSET($H20,0,'Plantilla Sprint'!DoneDays-'Plantilla Sprint'!TrendDays,1,'Plantilla Sprint'!TrendDays),Y20)&lt;0,"",TREND(OFFSET($H17,0,'Plantilla Sprint'!DoneDays-'Plantilla Sprint'!TrendDays,1,'Plantilla Sprint'!TrendDays),OFFSET($H20,0,'Plantilla Sprint'!DoneDays-'Plantilla Sprint'!TrendDays,1,'Plantilla Sprint'!TrendDays),Y20))</f>
        <v>#REF!</v>
      </c>
      <c r="Z19" s="1" t="e">
        <f t="array" aca="1" ref="Z19" ca="1">IF(TREND(OFFSET($H17,0,'Plantilla Sprint'!DoneDays-'Plantilla Sprint'!TrendDays,1,'Plantilla Sprint'!TrendDays),OFFSET($H20,0,'Plantilla Sprint'!DoneDays-'Plantilla Sprint'!TrendDays,1,'Plantilla Sprint'!TrendDays),Z20)&lt;0,"",TREND(OFFSET($H17,0,'Plantilla Sprint'!DoneDays-'Plantilla Sprint'!TrendDays,1,'Plantilla Sprint'!TrendDays),OFFSET($H20,0,'Plantilla Sprint'!DoneDays-'Plantilla Sprint'!TrendDays,1,'Plantilla Sprint'!TrendDays),Z20))</f>
        <v>#REF!</v>
      </c>
      <c r="AA19" s="1" t="e">
        <f t="array" aca="1" ref="AA19" ca="1">IF(TREND(OFFSET($H17,0,'Plantilla Sprint'!DoneDays-'Plantilla Sprint'!TrendDays,1,'Plantilla Sprint'!TrendDays),OFFSET($H20,0,'Plantilla Sprint'!DoneDays-'Plantilla Sprint'!TrendDays,1,'Plantilla Sprint'!TrendDays),AA20)&lt;0,"",TREND(OFFSET($H17,0,'Plantilla Sprint'!DoneDays-'Plantilla Sprint'!TrendDays,1,'Plantilla Sprint'!TrendDays),OFFSET($H20,0,'Plantilla Sprint'!DoneDays-'Plantilla Sprint'!TrendDays,1,'Plantilla Sprint'!TrendDays),AA20))</f>
        <v>#REF!</v>
      </c>
      <c r="AB19" s="1" t="e">
        <f t="array" aca="1" ref="AB19" ca="1">IF(TREND(OFFSET($H17,0,'Plantilla Sprint'!DoneDays-'Plantilla Sprint'!TrendDays,1,'Plantilla Sprint'!TrendDays),OFFSET($H20,0,'Plantilla Sprint'!DoneDays-'Plantilla Sprint'!TrendDays,1,'Plantilla Sprint'!TrendDays),AB20)&lt;0,"",TREND(OFFSET($H17,0,'Plantilla Sprint'!DoneDays-'Plantilla Sprint'!TrendDays,1,'Plantilla Sprint'!TrendDays),OFFSET($H20,0,'Plantilla Sprint'!DoneDays-'Plantilla Sprint'!TrendDays,1,'Plantilla Sprint'!TrendDays),AB20))</f>
        <v>#REF!</v>
      </c>
      <c r="AC19" s="1" t="e">
        <f t="array" aca="1" ref="AC19" ca="1">IF(TREND(OFFSET($H17,0,'Plantilla Sprint'!DoneDays-'Plantilla Sprint'!TrendDays,1,'Plantilla Sprint'!TrendDays),OFFSET($H20,0,'Plantilla Sprint'!DoneDays-'Plantilla Sprint'!TrendDays,1,'Plantilla Sprint'!TrendDays),AC20)&lt;0,"",TREND(OFFSET($H17,0,'Plantilla Sprint'!DoneDays-'Plantilla Sprint'!TrendDays,1,'Plantilla Sprint'!TrendDays),OFFSET($H20,0,'Plantilla Sprint'!DoneDays-'Plantilla Sprint'!TrendDays,1,'Plantilla Sprint'!TrendDays),AC20))</f>
        <v>#REF!</v>
      </c>
      <c r="AD19" s="1" t="e">
        <f t="array" aca="1" ref="AD19" ca="1">IF(TREND(OFFSET($H17,0,'Plantilla Sprint'!DoneDays-'Plantilla Sprint'!TrendDays,1,'Plantilla Sprint'!TrendDays),OFFSET($H20,0,'Plantilla Sprint'!DoneDays-'Plantilla Sprint'!TrendDays,1,'Plantilla Sprint'!TrendDays),AD20)&lt;0,"",TREND(OFFSET($H17,0,'Plantilla Sprint'!DoneDays-'Plantilla Sprint'!TrendDays,1,'Plantilla Sprint'!TrendDays),OFFSET($H20,0,'Plantilla Sprint'!DoneDays-'Plantilla Sprint'!TrendDays,1,'Plantilla Sprint'!TrendDays),AD20))</f>
        <v>#REF!</v>
      </c>
      <c r="AE19" s="1" t="e">
        <f t="array" aca="1" ref="AE19" ca="1">IF(TREND(OFFSET($H17,0,'Plantilla Sprint'!DoneDays-'Plantilla Sprint'!TrendDays,1,'Plantilla Sprint'!TrendDays),OFFSET($H20,0,'Plantilla Sprint'!DoneDays-'Plantilla Sprint'!TrendDays,1,'Plantilla Sprint'!TrendDays),AE20)&lt;0,"",TREND(OFFSET($H17,0,'Plantilla Sprint'!DoneDays-'Plantilla Sprint'!TrendDays,1,'Plantilla Sprint'!TrendDays),OFFSET($H20,0,'Plantilla Sprint'!DoneDays-'Plantilla Sprint'!TrendDays,1,'Plantilla Sprint'!TrendDays),AE20))</f>
        <v>#REF!</v>
      </c>
      <c r="AF19" s="1" t="e">
        <f t="array" aca="1" ref="AF19" ca="1">IF(TREND(OFFSET($H17,0,'Plantilla Sprint'!DoneDays-'Plantilla Sprint'!TrendDays,1,'Plantilla Sprint'!TrendDays),OFFSET($H20,0,'Plantilla Sprint'!DoneDays-'Plantilla Sprint'!TrendDays,1,'Plantilla Sprint'!TrendDays),AF20)&lt;0,"",TREND(OFFSET($H17,0,'Plantilla Sprint'!DoneDays-'Plantilla Sprint'!TrendDays,1,'Plantilla Sprint'!TrendDays),OFFSET($H20,0,'Plantilla Sprint'!DoneDays-'Plantilla Sprint'!TrendDays,1,'Plantilla Sprint'!TrendDays),AF20))</f>
        <v>#REF!</v>
      </c>
    </row>
    <row r="20" spans="2:32" ht="12.75" hidden="1" customHeight="1" x14ac:dyDescent="0.2">
      <c r="C20" s="25" t="s">
        <v>16</v>
      </c>
      <c r="E20" s="21" t="s">
        <v>17</v>
      </c>
      <c r="F20" s="1">
        <f ca="1">IF('Plantilla Sprint'!DoneDays&gt;D17,D17,'Plantilla Sprint'!DoneDays)</f>
        <v>0</v>
      </c>
      <c r="G20" s="1"/>
      <c r="H20" s="1">
        <f ca="1">IF('Plantilla Sprint'!DoneDays&gt;G20,G20+1,"")</f>
        <v>1</v>
      </c>
      <c r="I20" s="1">
        <v>2</v>
      </c>
      <c r="J20" s="1">
        <v>3</v>
      </c>
      <c r="K20" s="1">
        <v>4</v>
      </c>
      <c r="L20" s="1">
        <v>5</v>
      </c>
      <c r="M20" s="1">
        <v>6</v>
      </c>
      <c r="N20" s="1">
        <v>7</v>
      </c>
      <c r="O20" s="1">
        <v>8</v>
      </c>
      <c r="P20" s="1">
        <v>9</v>
      </c>
      <c r="Q20" s="1">
        <v>10</v>
      </c>
      <c r="R20" s="1">
        <v>11</v>
      </c>
      <c r="S20" s="1">
        <v>12</v>
      </c>
      <c r="T20" s="1">
        <v>13</v>
      </c>
      <c r="U20" s="1">
        <v>14</v>
      </c>
      <c r="V20" s="1">
        <v>15</v>
      </c>
      <c r="W20" s="1">
        <v>16</v>
      </c>
      <c r="X20" s="1">
        <v>17</v>
      </c>
      <c r="Y20" s="1">
        <v>18</v>
      </c>
      <c r="Z20" s="1">
        <v>19</v>
      </c>
      <c r="AA20" s="1">
        <v>20</v>
      </c>
      <c r="AB20" s="1">
        <v>21</v>
      </c>
      <c r="AC20" s="1">
        <v>22</v>
      </c>
      <c r="AD20" s="1">
        <v>23</v>
      </c>
      <c r="AE20" s="1">
        <v>24</v>
      </c>
      <c r="AF20" s="1">
        <v>25</v>
      </c>
    </row>
    <row r="21" spans="2:32" ht="12.75" customHeight="1" x14ac:dyDescent="0.2">
      <c r="B21" s="22" t="s">
        <v>18</v>
      </c>
      <c r="C21" s="26" t="s">
        <v>19</v>
      </c>
      <c r="D21" s="26" t="s">
        <v>20</v>
      </c>
      <c r="E21" s="26" t="s">
        <v>21</v>
      </c>
      <c r="F21" s="26" t="s">
        <v>22</v>
      </c>
      <c r="G21" s="26" t="s">
        <v>23</v>
      </c>
      <c r="H21" s="26">
        <v>1</v>
      </c>
      <c r="I21" s="26" t="str">
        <f t="shared" ref="I21:AF21" si="0">IF($D$16&gt;H21,H21+1,"")</f>
        <v/>
      </c>
      <c r="J21" s="26" t="str">
        <f t="shared" si="0"/>
        <v/>
      </c>
      <c r="K21" s="26" t="str">
        <f t="shared" si="0"/>
        <v/>
      </c>
      <c r="L21" s="26" t="str">
        <f t="shared" si="0"/>
        <v/>
      </c>
      <c r="M21" s="26" t="str">
        <f t="shared" si="0"/>
        <v/>
      </c>
      <c r="N21" s="26" t="str">
        <f t="shared" si="0"/>
        <v/>
      </c>
      <c r="O21" s="26" t="str">
        <f t="shared" si="0"/>
        <v/>
      </c>
      <c r="P21" s="26" t="str">
        <f t="shared" si="0"/>
        <v/>
      </c>
      <c r="Q21" s="26" t="str">
        <f t="shared" si="0"/>
        <v/>
      </c>
      <c r="R21" s="26" t="str">
        <f t="shared" si="0"/>
        <v/>
      </c>
      <c r="S21" s="26" t="str">
        <f t="shared" si="0"/>
        <v/>
      </c>
      <c r="T21" s="26" t="str">
        <f t="shared" si="0"/>
        <v/>
      </c>
      <c r="U21" s="26" t="str">
        <f t="shared" si="0"/>
        <v/>
      </c>
      <c r="V21" s="26" t="str">
        <f t="shared" si="0"/>
        <v/>
      </c>
      <c r="W21" s="26" t="str">
        <f t="shared" si="0"/>
        <v/>
      </c>
      <c r="X21" s="26" t="str">
        <f t="shared" si="0"/>
        <v/>
      </c>
      <c r="Y21" s="26" t="str">
        <f t="shared" si="0"/>
        <v/>
      </c>
      <c r="Z21" s="26" t="str">
        <f t="shared" si="0"/>
        <v/>
      </c>
      <c r="AA21" s="26" t="str">
        <f t="shared" si="0"/>
        <v/>
      </c>
      <c r="AB21" s="26" t="str">
        <f t="shared" si="0"/>
        <v/>
      </c>
      <c r="AC21" s="26" t="str">
        <f t="shared" si="0"/>
        <v/>
      </c>
      <c r="AD21" s="26" t="str">
        <f t="shared" si="0"/>
        <v/>
      </c>
      <c r="AE21" s="26" t="str">
        <f t="shared" si="0"/>
        <v/>
      </c>
      <c r="AF21" s="26" t="str">
        <f t="shared" si="0"/>
        <v/>
      </c>
    </row>
    <row r="22" spans="2:32" ht="12.75" customHeight="1" x14ac:dyDescent="0.2">
      <c r="D22" s="1"/>
      <c r="F22" s="21" t="str">
        <f t="shared" ref="F22:F63" si="1">IF(C22&lt;&gt;"","Planned","")</f>
        <v/>
      </c>
      <c r="G22" s="1"/>
      <c r="H22" s="1" t="str">
        <f t="shared" ref="H22:H66" si="2">IF(OR(H$21="",$G22=""),"",G22)</f>
        <v/>
      </c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 t="str">
        <f t="shared" ref="AE22:AF22" si="3">IF(OR(AE$21="",$G22=""),"",AD22)</f>
        <v/>
      </c>
      <c r="AF22" s="1" t="str">
        <f t="shared" si="3"/>
        <v/>
      </c>
    </row>
    <row r="23" spans="2:32" ht="12.75" customHeight="1" x14ac:dyDescent="0.2">
      <c r="D23" s="1"/>
      <c r="F23" s="21" t="str">
        <f t="shared" si="1"/>
        <v/>
      </c>
      <c r="G23" s="1"/>
      <c r="H23" s="1" t="str">
        <f t="shared" si="2"/>
        <v/>
      </c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 t="str">
        <f t="shared" ref="AE23:AF23" si="4">IF(OR(AE$21="",$G23=""),"",AD23)</f>
        <v/>
      </c>
      <c r="AF23" s="1" t="str">
        <f t="shared" si="4"/>
        <v/>
      </c>
    </row>
    <row r="24" spans="2:32" ht="12.75" customHeight="1" x14ac:dyDescent="0.2">
      <c r="D24" s="1"/>
      <c r="F24" s="21" t="str">
        <f t="shared" si="1"/>
        <v/>
      </c>
      <c r="G24" s="1"/>
      <c r="H24" s="1" t="str">
        <f t="shared" si="2"/>
        <v/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 t="str">
        <f t="shared" ref="AE24:AF24" si="5">IF(OR(AE$21="",$G24=""),"",AD24)</f>
        <v/>
      </c>
      <c r="AF24" s="1" t="str">
        <f t="shared" si="5"/>
        <v/>
      </c>
    </row>
    <row r="25" spans="2:32" ht="12.75" customHeight="1" x14ac:dyDescent="0.2">
      <c r="D25" s="1"/>
      <c r="F25" s="21" t="str">
        <f t="shared" si="1"/>
        <v/>
      </c>
      <c r="G25" s="1"/>
      <c r="H25" s="1" t="str">
        <f t="shared" si="2"/>
        <v/>
      </c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 t="str">
        <f t="shared" ref="AE25:AF25" si="6">IF(OR(AE$21="",$G25=""),"",AD25)</f>
        <v/>
      </c>
      <c r="AF25" s="1" t="str">
        <f t="shared" si="6"/>
        <v/>
      </c>
    </row>
    <row r="26" spans="2:32" ht="12.75" customHeight="1" x14ac:dyDescent="0.2">
      <c r="D26" s="1"/>
      <c r="F26" s="21" t="str">
        <f t="shared" si="1"/>
        <v/>
      </c>
      <c r="G26" s="1"/>
      <c r="H26" s="1" t="str">
        <f t="shared" si="2"/>
        <v/>
      </c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 t="str">
        <f t="shared" ref="AE26:AF26" si="7">IF(OR(AE$21="",$G26=""),"",AD26)</f>
        <v/>
      </c>
      <c r="AF26" s="1" t="str">
        <f t="shared" si="7"/>
        <v/>
      </c>
    </row>
    <row r="27" spans="2:32" ht="12.75" customHeight="1" x14ac:dyDescent="0.2">
      <c r="D27" s="1"/>
      <c r="F27" s="21" t="str">
        <f t="shared" si="1"/>
        <v/>
      </c>
      <c r="G27" s="1"/>
      <c r="H27" s="1" t="str">
        <f t="shared" si="2"/>
        <v/>
      </c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 t="str">
        <f t="shared" ref="AE27:AF27" si="8">IF(OR(AE$21="",$G27=""),"",AD27)</f>
        <v/>
      </c>
      <c r="AF27" s="1" t="str">
        <f t="shared" si="8"/>
        <v/>
      </c>
    </row>
    <row r="28" spans="2:32" ht="12.75" customHeight="1" x14ac:dyDescent="0.2">
      <c r="D28" s="1"/>
      <c r="F28" s="21" t="str">
        <f t="shared" si="1"/>
        <v/>
      </c>
      <c r="G28" s="1"/>
      <c r="H28" s="1" t="str">
        <f t="shared" si="2"/>
        <v/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 t="str">
        <f t="shared" ref="AE28:AF28" si="9">IF(OR(AE$21="",$G28=""),"",AD28)</f>
        <v/>
      </c>
      <c r="AF28" s="1" t="str">
        <f t="shared" si="9"/>
        <v/>
      </c>
    </row>
    <row r="29" spans="2:32" ht="12.75" customHeight="1" x14ac:dyDescent="0.2">
      <c r="D29" s="1"/>
      <c r="F29" s="21" t="str">
        <f t="shared" si="1"/>
        <v/>
      </c>
      <c r="G29" s="1"/>
      <c r="H29" s="1" t="str">
        <f t="shared" si="2"/>
        <v/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 t="str">
        <f t="shared" ref="AE29:AF29" si="10">IF(OR(AE$21="",$G29=""),"",AD29)</f>
        <v/>
      </c>
      <c r="AF29" s="1" t="str">
        <f t="shared" si="10"/>
        <v/>
      </c>
    </row>
    <row r="30" spans="2:32" ht="12.75" customHeight="1" x14ac:dyDescent="0.2">
      <c r="D30" s="1"/>
      <c r="F30" s="21" t="str">
        <f t="shared" si="1"/>
        <v/>
      </c>
      <c r="G30" s="1"/>
      <c r="H30" s="1" t="str">
        <f t="shared" si="2"/>
        <v/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 t="str">
        <f t="shared" ref="AE30:AF30" si="11">IF(OR(AE$21="",$G30=""),"",AD30)</f>
        <v/>
      </c>
      <c r="AF30" s="1" t="str">
        <f t="shared" si="11"/>
        <v/>
      </c>
    </row>
    <row r="31" spans="2:32" ht="12.75" customHeight="1" x14ac:dyDescent="0.2">
      <c r="D31" s="1"/>
      <c r="F31" s="21" t="str">
        <f t="shared" si="1"/>
        <v/>
      </c>
      <c r="G31" s="1"/>
      <c r="H31" s="1" t="str">
        <f t="shared" si="2"/>
        <v/>
      </c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 t="str">
        <f t="shared" ref="AE31:AF31" si="12">IF(OR(AE$21="",$G31=""),"",AD31)</f>
        <v/>
      </c>
      <c r="AF31" s="1" t="str">
        <f t="shared" si="12"/>
        <v/>
      </c>
    </row>
    <row r="32" spans="2:32" ht="12.75" customHeight="1" x14ac:dyDescent="0.2">
      <c r="D32" s="1"/>
      <c r="F32" s="21" t="str">
        <f t="shared" si="1"/>
        <v/>
      </c>
      <c r="G32" s="1"/>
      <c r="H32" s="1" t="str">
        <f t="shared" si="2"/>
        <v/>
      </c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 t="str">
        <f t="shared" ref="AE32:AF32" si="13">IF(OR(AE$21="",$G32=""),"",AD32)</f>
        <v/>
      </c>
      <c r="AF32" s="1" t="str">
        <f t="shared" si="13"/>
        <v/>
      </c>
    </row>
    <row r="33" spans="4:32" ht="12.75" customHeight="1" x14ac:dyDescent="0.2">
      <c r="D33" s="1"/>
      <c r="F33" s="21" t="str">
        <f t="shared" si="1"/>
        <v/>
      </c>
      <c r="G33" s="1"/>
      <c r="H33" s="1" t="str">
        <f t="shared" si="2"/>
        <v/>
      </c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 t="str">
        <f t="shared" ref="AE33:AF33" si="14">IF(OR(AE$21="",$G33=""),"",AD33)</f>
        <v/>
      </c>
      <c r="AF33" s="1" t="str">
        <f t="shared" si="14"/>
        <v/>
      </c>
    </row>
    <row r="34" spans="4:32" ht="12.75" customHeight="1" x14ac:dyDescent="0.2">
      <c r="D34" s="1"/>
      <c r="F34" s="21" t="str">
        <f t="shared" si="1"/>
        <v/>
      </c>
      <c r="G34" s="1"/>
      <c r="H34" s="1" t="str">
        <f t="shared" si="2"/>
        <v/>
      </c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 t="str">
        <f t="shared" ref="AE34:AF34" si="15">IF(OR(AE$21="",$G34=""),"",AD34)</f>
        <v/>
      </c>
      <c r="AF34" s="1" t="str">
        <f t="shared" si="15"/>
        <v/>
      </c>
    </row>
    <row r="35" spans="4:32" ht="12.75" customHeight="1" x14ac:dyDescent="0.2">
      <c r="D35" s="1"/>
      <c r="F35" s="21" t="str">
        <f t="shared" si="1"/>
        <v/>
      </c>
      <c r="G35" s="1"/>
      <c r="H35" s="1" t="str">
        <f t="shared" si="2"/>
        <v/>
      </c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 t="str">
        <f t="shared" ref="AE35:AF35" si="16">IF(OR(AE$21="",$G35=""),"",AD35)</f>
        <v/>
      </c>
      <c r="AF35" s="1" t="str">
        <f t="shared" si="16"/>
        <v/>
      </c>
    </row>
    <row r="36" spans="4:32" ht="12.75" customHeight="1" x14ac:dyDescent="0.2">
      <c r="D36" s="1"/>
      <c r="F36" s="21" t="str">
        <f t="shared" si="1"/>
        <v/>
      </c>
      <c r="G36" s="1"/>
      <c r="H36" s="1" t="str">
        <f t="shared" si="2"/>
        <v/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 t="str">
        <f t="shared" ref="AE36:AF36" si="17">IF(OR(AE$21="",$G36=""),"",AD36)</f>
        <v/>
      </c>
      <c r="AF36" s="1" t="str">
        <f t="shared" si="17"/>
        <v/>
      </c>
    </row>
    <row r="37" spans="4:32" ht="12.75" customHeight="1" x14ac:dyDescent="0.2">
      <c r="D37" s="1"/>
      <c r="F37" s="21" t="str">
        <f t="shared" si="1"/>
        <v/>
      </c>
      <c r="G37" s="1"/>
      <c r="H37" s="1" t="str">
        <f t="shared" si="2"/>
        <v/>
      </c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 t="str">
        <f t="shared" ref="AE37:AF37" si="18">IF(OR(AE$21="",$G37=""),"",AD37)</f>
        <v/>
      </c>
      <c r="AF37" s="1" t="str">
        <f t="shared" si="18"/>
        <v/>
      </c>
    </row>
    <row r="38" spans="4:32" ht="12.75" customHeight="1" x14ac:dyDescent="0.2">
      <c r="D38" s="1"/>
      <c r="F38" s="21" t="str">
        <f t="shared" si="1"/>
        <v/>
      </c>
      <c r="G38" s="1"/>
      <c r="H38" s="1" t="str">
        <f t="shared" si="2"/>
        <v/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 t="str">
        <f t="shared" ref="AE38:AF38" si="19">IF(OR(AE$21="",$G38=""),"",AD38)</f>
        <v/>
      </c>
      <c r="AF38" s="1" t="str">
        <f t="shared" si="19"/>
        <v/>
      </c>
    </row>
    <row r="39" spans="4:32" ht="12.75" customHeight="1" x14ac:dyDescent="0.2">
      <c r="D39" s="1"/>
      <c r="F39" s="21" t="str">
        <f t="shared" si="1"/>
        <v/>
      </c>
      <c r="G39" s="1"/>
      <c r="H39" s="1" t="str">
        <f t="shared" si="2"/>
        <v/>
      </c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 t="str">
        <f t="shared" ref="AE39:AF39" si="20">IF(OR(AE$21="",$G39=""),"",AD39)</f>
        <v/>
      </c>
      <c r="AF39" s="1" t="str">
        <f t="shared" si="20"/>
        <v/>
      </c>
    </row>
    <row r="40" spans="4:32" ht="12.75" customHeight="1" x14ac:dyDescent="0.2">
      <c r="D40" s="1"/>
      <c r="F40" s="21" t="str">
        <f t="shared" si="1"/>
        <v/>
      </c>
      <c r="G40" s="1"/>
      <c r="H40" s="1" t="str">
        <f t="shared" si="2"/>
        <v/>
      </c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 t="str">
        <f t="shared" ref="AE40:AF40" si="21">IF(OR(AE$21="",$G40=""),"",AD40)</f>
        <v/>
      </c>
      <c r="AF40" s="1" t="str">
        <f t="shared" si="21"/>
        <v/>
      </c>
    </row>
    <row r="41" spans="4:32" ht="12.75" customHeight="1" x14ac:dyDescent="0.2">
      <c r="D41" s="1"/>
      <c r="F41" s="21" t="str">
        <f t="shared" si="1"/>
        <v/>
      </c>
      <c r="G41" s="1"/>
      <c r="H41" s="1" t="str">
        <f t="shared" si="2"/>
        <v/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 t="str">
        <f t="shared" ref="AE41:AF41" si="22">IF(OR(AE$21="",$G41=""),"",AD41)</f>
        <v/>
      </c>
      <c r="AF41" s="1" t="str">
        <f t="shared" si="22"/>
        <v/>
      </c>
    </row>
    <row r="42" spans="4:32" ht="12.75" customHeight="1" x14ac:dyDescent="0.2">
      <c r="D42" s="1"/>
      <c r="F42" s="21" t="str">
        <f t="shared" si="1"/>
        <v/>
      </c>
      <c r="G42" s="1"/>
      <c r="H42" s="1" t="str">
        <f t="shared" si="2"/>
        <v/>
      </c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 t="str">
        <f t="shared" ref="AE42:AF42" si="23">IF(OR(AE$21="",$G42=""),"",AD42)</f>
        <v/>
      </c>
      <c r="AF42" s="1" t="str">
        <f t="shared" si="23"/>
        <v/>
      </c>
    </row>
    <row r="43" spans="4:32" ht="12.75" customHeight="1" x14ac:dyDescent="0.2">
      <c r="D43" s="1"/>
      <c r="F43" s="21" t="str">
        <f t="shared" si="1"/>
        <v/>
      </c>
      <c r="G43" s="1"/>
      <c r="H43" s="1" t="str">
        <f t="shared" si="2"/>
        <v/>
      </c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 t="str">
        <f t="shared" ref="AE43:AF43" si="24">IF(OR(AE$21="",$G43=""),"",AD43)</f>
        <v/>
      </c>
      <c r="AF43" s="1" t="str">
        <f t="shared" si="24"/>
        <v/>
      </c>
    </row>
    <row r="44" spans="4:32" ht="12.75" customHeight="1" x14ac:dyDescent="0.2">
      <c r="D44" s="1"/>
      <c r="F44" s="21" t="str">
        <f t="shared" si="1"/>
        <v/>
      </c>
      <c r="G44" s="1"/>
      <c r="H44" s="1" t="str">
        <f t="shared" si="2"/>
        <v/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 t="str">
        <f t="shared" ref="AE44:AF44" si="25">IF(OR(AE$21="",$G44=""),"",AD44)</f>
        <v/>
      </c>
      <c r="AF44" s="1" t="str">
        <f t="shared" si="25"/>
        <v/>
      </c>
    </row>
    <row r="45" spans="4:32" ht="12.75" customHeight="1" x14ac:dyDescent="0.2">
      <c r="D45" s="1"/>
      <c r="F45" s="21" t="str">
        <f t="shared" si="1"/>
        <v/>
      </c>
      <c r="G45" s="1"/>
      <c r="H45" s="1" t="str">
        <f t="shared" si="2"/>
        <v/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 t="str">
        <f t="shared" ref="AE45:AF45" si="26">IF(OR(AE$21="",$G45=""),"",AD45)</f>
        <v/>
      </c>
      <c r="AF45" s="1" t="str">
        <f t="shared" si="26"/>
        <v/>
      </c>
    </row>
    <row r="46" spans="4:32" ht="12.75" customHeight="1" x14ac:dyDescent="0.2">
      <c r="D46" s="1"/>
      <c r="F46" s="21" t="str">
        <f t="shared" si="1"/>
        <v/>
      </c>
      <c r="G46" s="1"/>
      <c r="H46" s="1" t="str">
        <f t="shared" si="2"/>
        <v/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 t="str">
        <f t="shared" ref="AE46:AF46" si="27">IF(OR(AE$21="",$G46=""),"",AD46)</f>
        <v/>
      </c>
      <c r="AF46" s="1" t="str">
        <f t="shared" si="27"/>
        <v/>
      </c>
    </row>
    <row r="47" spans="4:32" ht="12.75" customHeight="1" x14ac:dyDescent="0.2">
      <c r="D47" s="1"/>
      <c r="F47" s="21" t="str">
        <f t="shared" si="1"/>
        <v/>
      </c>
      <c r="G47" s="1"/>
      <c r="H47" s="1" t="str">
        <f t="shared" si="2"/>
        <v/>
      </c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 t="str">
        <f t="shared" ref="AE47:AF47" si="28">IF(OR(AE$21="",$G47=""),"",AD47)</f>
        <v/>
      </c>
      <c r="AF47" s="1" t="str">
        <f t="shared" si="28"/>
        <v/>
      </c>
    </row>
    <row r="48" spans="4:32" ht="12.75" customHeight="1" x14ac:dyDescent="0.2">
      <c r="D48" s="1"/>
      <c r="F48" s="21" t="str">
        <f t="shared" si="1"/>
        <v/>
      </c>
      <c r="G48" s="1"/>
      <c r="H48" s="1" t="str">
        <f t="shared" si="2"/>
        <v/>
      </c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 t="str">
        <f t="shared" ref="AE48:AF48" si="29">IF(OR(AE$21="",$G48=""),"",AD48)</f>
        <v/>
      </c>
      <c r="AF48" s="1" t="str">
        <f t="shared" si="29"/>
        <v/>
      </c>
    </row>
    <row r="49" spans="4:32" ht="12.75" customHeight="1" x14ac:dyDescent="0.2">
      <c r="D49" s="1"/>
      <c r="F49" s="21" t="str">
        <f t="shared" si="1"/>
        <v/>
      </c>
      <c r="G49" s="1"/>
      <c r="H49" s="1" t="str">
        <f t="shared" si="2"/>
        <v/>
      </c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 t="str">
        <f t="shared" ref="AE49:AF49" si="30">IF(OR(AE$21="",$G49=""),"",AD49)</f>
        <v/>
      </c>
      <c r="AF49" s="1" t="str">
        <f t="shared" si="30"/>
        <v/>
      </c>
    </row>
    <row r="50" spans="4:32" ht="12.75" customHeight="1" x14ac:dyDescent="0.2">
      <c r="D50" s="1"/>
      <c r="F50" s="21" t="str">
        <f t="shared" si="1"/>
        <v/>
      </c>
      <c r="G50" s="1"/>
      <c r="H50" s="1" t="str">
        <f t="shared" si="2"/>
        <v/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 t="str">
        <f t="shared" ref="AE50:AF50" si="31">IF(OR(AE$21="",$G50=""),"",AD50)</f>
        <v/>
      </c>
      <c r="AF50" s="1" t="str">
        <f t="shared" si="31"/>
        <v/>
      </c>
    </row>
    <row r="51" spans="4:32" ht="12.75" customHeight="1" x14ac:dyDescent="0.2">
      <c r="D51" s="1"/>
      <c r="F51" s="21" t="str">
        <f t="shared" si="1"/>
        <v/>
      </c>
      <c r="G51" s="1"/>
      <c r="H51" s="1" t="str">
        <f t="shared" si="2"/>
        <v/>
      </c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 t="str">
        <f t="shared" ref="AE51:AF51" si="32">IF(OR(AE$21="",$G51=""),"",AD51)</f>
        <v/>
      </c>
      <c r="AF51" s="1" t="str">
        <f t="shared" si="32"/>
        <v/>
      </c>
    </row>
    <row r="52" spans="4:32" ht="12.75" customHeight="1" x14ac:dyDescent="0.2">
      <c r="D52" s="1"/>
      <c r="F52" s="21" t="str">
        <f t="shared" si="1"/>
        <v/>
      </c>
      <c r="G52" s="1"/>
      <c r="H52" s="1" t="str">
        <f t="shared" si="2"/>
        <v/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 t="str">
        <f t="shared" ref="AE52:AF52" si="33">IF(OR(AE$21="",$G52=""),"",AD52)</f>
        <v/>
      </c>
      <c r="AF52" s="1" t="str">
        <f t="shared" si="33"/>
        <v/>
      </c>
    </row>
    <row r="53" spans="4:32" ht="12.75" customHeight="1" x14ac:dyDescent="0.2">
      <c r="D53" s="1"/>
      <c r="F53" s="21" t="str">
        <f t="shared" si="1"/>
        <v/>
      </c>
      <c r="G53" s="1"/>
      <c r="H53" s="1" t="str">
        <f t="shared" si="2"/>
        <v/>
      </c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 t="str">
        <f t="shared" ref="AE53:AF53" si="34">IF(OR(AE$21="",$G53=""),"",AD53)</f>
        <v/>
      </c>
      <c r="AF53" s="1" t="str">
        <f t="shared" si="34"/>
        <v/>
      </c>
    </row>
    <row r="54" spans="4:32" ht="12.75" customHeight="1" x14ac:dyDescent="0.2">
      <c r="D54" s="1"/>
      <c r="F54" s="21" t="str">
        <f t="shared" si="1"/>
        <v/>
      </c>
      <c r="G54" s="1"/>
      <c r="H54" s="1" t="str">
        <f t="shared" si="2"/>
        <v/>
      </c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 t="str">
        <f t="shared" ref="AE54:AF54" si="35">IF(OR(AE$21="",$G54=""),"",AD54)</f>
        <v/>
      </c>
      <c r="AF54" s="1" t="str">
        <f t="shared" si="35"/>
        <v/>
      </c>
    </row>
    <row r="55" spans="4:32" ht="12.75" customHeight="1" x14ac:dyDescent="0.2">
      <c r="D55" s="1"/>
      <c r="F55" s="21" t="str">
        <f t="shared" si="1"/>
        <v/>
      </c>
      <c r="G55" s="1"/>
      <c r="H55" s="1" t="str">
        <f t="shared" si="2"/>
        <v/>
      </c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 t="str">
        <f t="shared" ref="AE55:AF55" si="36">IF(OR(AE$21="",$G55=""),"",AD55)</f>
        <v/>
      </c>
      <c r="AF55" s="1" t="str">
        <f t="shared" si="36"/>
        <v/>
      </c>
    </row>
    <row r="56" spans="4:32" ht="12.75" customHeight="1" x14ac:dyDescent="0.2">
      <c r="D56" s="1"/>
      <c r="F56" s="21" t="str">
        <f t="shared" si="1"/>
        <v/>
      </c>
      <c r="G56" s="1"/>
      <c r="H56" s="1" t="str">
        <f t="shared" si="2"/>
        <v/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 t="str">
        <f t="shared" ref="AE56:AF56" si="37">IF(OR(AE$21="",$G56=""),"",AD56)</f>
        <v/>
      </c>
      <c r="AF56" s="1" t="str">
        <f t="shared" si="37"/>
        <v/>
      </c>
    </row>
    <row r="57" spans="4:32" ht="12.75" customHeight="1" x14ac:dyDescent="0.2">
      <c r="D57" s="1"/>
      <c r="F57" s="21" t="str">
        <f t="shared" si="1"/>
        <v/>
      </c>
      <c r="G57" s="1"/>
      <c r="H57" s="1" t="str">
        <f t="shared" si="2"/>
        <v/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 t="str">
        <f t="shared" ref="AE57:AF57" si="38">IF(OR(AE$21="",$G57=""),"",AD57)</f>
        <v/>
      </c>
      <c r="AF57" s="1" t="str">
        <f t="shared" si="38"/>
        <v/>
      </c>
    </row>
    <row r="58" spans="4:32" ht="12.75" customHeight="1" x14ac:dyDescent="0.2">
      <c r="D58" s="1"/>
      <c r="F58" s="21" t="str">
        <f t="shared" si="1"/>
        <v/>
      </c>
      <c r="G58" s="1"/>
      <c r="H58" s="1" t="str">
        <f t="shared" si="2"/>
        <v/>
      </c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 t="str">
        <f t="shared" ref="AE58:AF58" si="39">IF(OR(AE$21="",$G58=""),"",AD58)</f>
        <v/>
      </c>
      <c r="AF58" s="1" t="str">
        <f t="shared" si="39"/>
        <v/>
      </c>
    </row>
    <row r="59" spans="4:32" ht="12.75" customHeight="1" x14ac:dyDescent="0.2">
      <c r="D59" s="1"/>
      <c r="F59" s="21" t="str">
        <f t="shared" si="1"/>
        <v/>
      </c>
      <c r="G59" s="1"/>
      <c r="H59" s="1" t="str">
        <f t="shared" si="2"/>
        <v/>
      </c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 t="str">
        <f t="shared" ref="AE59:AF59" si="40">IF(OR(AE$21="",$G59=""),"",AD59)</f>
        <v/>
      </c>
      <c r="AF59" s="1" t="str">
        <f t="shared" si="40"/>
        <v/>
      </c>
    </row>
    <row r="60" spans="4:32" ht="12.75" customHeight="1" x14ac:dyDescent="0.2">
      <c r="D60" s="1"/>
      <c r="F60" s="21" t="str">
        <f t="shared" si="1"/>
        <v/>
      </c>
      <c r="G60" s="1"/>
      <c r="H60" s="1" t="str">
        <f t="shared" si="2"/>
        <v/>
      </c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 t="str">
        <f t="shared" ref="AE60:AF60" si="41">IF(OR(AE$21="",$G60=""),"",AD60)</f>
        <v/>
      </c>
      <c r="AF60" s="1" t="str">
        <f t="shared" si="41"/>
        <v/>
      </c>
    </row>
    <row r="61" spans="4:32" ht="12.75" customHeight="1" x14ac:dyDescent="0.2">
      <c r="D61" s="1"/>
      <c r="F61" s="21" t="str">
        <f t="shared" si="1"/>
        <v/>
      </c>
      <c r="G61" s="1"/>
      <c r="H61" s="1" t="str">
        <f t="shared" si="2"/>
        <v/>
      </c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 t="str">
        <f t="shared" ref="AE61:AF61" si="42">IF(OR(AE$21="",$G61=""),"",AD61)</f>
        <v/>
      </c>
      <c r="AF61" s="1" t="str">
        <f t="shared" si="42"/>
        <v/>
      </c>
    </row>
    <row r="62" spans="4:32" ht="12.75" customHeight="1" x14ac:dyDescent="0.2">
      <c r="D62" s="1"/>
      <c r="F62" s="21" t="str">
        <f t="shared" si="1"/>
        <v/>
      </c>
      <c r="G62" s="1"/>
      <c r="H62" s="1" t="str">
        <f t="shared" si="2"/>
        <v/>
      </c>
      <c r="I62" s="1" t="str">
        <f t="shared" ref="I62:AF62" si="43">IF(OR(I$21="",$G62=""),"",H62)</f>
        <v/>
      </c>
      <c r="J62" s="1" t="str">
        <f t="shared" si="43"/>
        <v/>
      </c>
      <c r="K62" s="1" t="str">
        <f t="shared" si="43"/>
        <v/>
      </c>
      <c r="L62" s="1" t="str">
        <f t="shared" si="43"/>
        <v/>
      </c>
      <c r="M62" s="1" t="str">
        <f t="shared" si="43"/>
        <v/>
      </c>
      <c r="N62" s="1" t="str">
        <f t="shared" si="43"/>
        <v/>
      </c>
      <c r="O62" s="1" t="str">
        <f t="shared" si="43"/>
        <v/>
      </c>
      <c r="P62" s="1" t="str">
        <f t="shared" si="43"/>
        <v/>
      </c>
      <c r="Q62" s="1" t="str">
        <f t="shared" si="43"/>
        <v/>
      </c>
      <c r="R62" s="1" t="str">
        <f t="shared" si="43"/>
        <v/>
      </c>
      <c r="S62" s="1" t="str">
        <f t="shared" si="43"/>
        <v/>
      </c>
      <c r="T62" s="1" t="str">
        <f t="shared" si="43"/>
        <v/>
      </c>
      <c r="U62" s="1" t="str">
        <f t="shared" si="43"/>
        <v/>
      </c>
      <c r="V62" s="1" t="str">
        <f t="shared" si="43"/>
        <v/>
      </c>
      <c r="W62" s="1" t="str">
        <f t="shared" si="43"/>
        <v/>
      </c>
      <c r="X62" s="1" t="str">
        <f t="shared" si="43"/>
        <v/>
      </c>
      <c r="Y62" s="1" t="str">
        <f t="shared" si="43"/>
        <v/>
      </c>
      <c r="Z62" s="1" t="str">
        <f t="shared" si="43"/>
        <v/>
      </c>
      <c r="AA62" s="1" t="str">
        <f t="shared" si="43"/>
        <v/>
      </c>
      <c r="AB62" s="1" t="str">
        <f t="shared" si="43"/>
        <v/>
      </c>
      <c r="AC62" s="1" t="str">
        <f t="shared" si="43"/>
        <v/>
      </c>
      <c r="AD62" s="1" t="str">
        <f t="shared" si="43"/>
        <v/>
      </c>
      <c r="AE62" s="1" t="str">
        <f t="shared" si="43"/>
        <v/>
      </c>
      <c r="AF62" s="1" t="str">
        <f t="shared" si="43"/>
        <v/>
      </c>
    </row>
    <row r="63" spans="4:32" ht="12.75" customHeight="1" x14ac:dyDescent="0.2">
      <c r="D63" s="1"/>
      <c r="F63" s="21" t="str">
        <f t="shared" si="1"/>
        <v/>
      </c>
      <c r="G63" s="1"/>
      <c r="H63" s="1" t="str">
        <f t="shared" si="2"/>
        <v/>
      </c>
      <c r="I63" s="1" t="str">
        <f t="shared" ref="I63:AF63" si="44">IF(OR(I$21="",$G63=""),"",H63)</f>
        <v/>
      </c>
      <c r="J63" s="1" t="str">
        <f t="shared" si="44"/>
        <v/>
      </c>
      <c r="K63" s="1" t="str">
        <f t="shared" si="44"/>
        <v/>
      </c>
      <c r="L63" s="1" t="str">
        <f t="shared" si="44"/>
        <v/>
      </c>
      <c r="M63" s="1" t="str">
        <f t="shared" si="44"/>
        <v/>
      </c>
      <c r="N63" s="1" t="str">
        <f t="shared" si="44"/>
        <v/>
      </c>
      <c r="O63" s="1" t="str">
        <f t="shared" si="44"/>
        <v/>
      </c>
      <c r="P63" s="1" t="str">
        <f t="shared" si="44"/>
        <v/>
      </c>
      <c r="Q63" s="1" t="str">
        <f t="shared" si="44"/>
        <v/>
      </c>
      <c r="R63" s="1" t="str">
        <f t="shared" si="44"/>
        <v/>
      </c>
      <c r="S63" s="1" t="str">
        <f t="shared" si="44"/>
        <v/>
      </c>
      <c r="T63" s="1" t="str">
        <f t="shared" si="44"/>
        <v/>
      </c>
      <c r="U63" s="1" t="str">
        <f t="shared" si="44"/>
        <v/>
      </c>
      <c r="V63" s="1" t="str">
        <f t="shared" si="44"/>
        <v/>
      </c>
      <c r="W63" s="1" t="str">
        <f t="shared" si="44"/>
        <v/>
      </c>
      <c r="X63" s="1" t="str">
        <f t="shared" si="44"/>
        <v/>
      </c>
      <c r="Y63" s="1" t="str">
        <f t="shared" si="44"/>
        <v/>
      </c>
      <c r="Z63" s="1" t="str">
        <f t="shared" si="44"/>
        <v/>
      </c>
      <c r="AA63" s="1" t="str">
        <f t="shared" si="44"/>
        <v/>
      </c>
      <c r="AB63" s="1" t="str">
        <f t="shared" si="44"/>
        <v/>
      </c>
      <c r="AC63" s="1" t="str">
        <f t="shared" si="44"/>
        <v/>
      </c>
      <c r="AD63" s="1" t="str">
        <f t="shared" si="44"/>
        <v/>
      </c>
      <c r="AE63" s="1" t="str">
        <f t="shared" si="44"/>
        <v/>
      </c>
      <c r="AF63" s="1" t="str">
        <f t="shared" si="44"/>
        <v/>
      </c>
    </row>
    <row r="64" spans="4:32" ht="12.75" customHeight="1" x14ac:dyDescent="0.2">
      <c r="D64" s="1"/>
      <c r="F64" s="21" t="s">
        <v>40</v>
      </c>
      <c r="G64" s="1"/>
      <c r="H64" s="1" t="str">
        <f t="shared" si="2"/>
        <v/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 t="str">
        <f t="shared" ref="AE64:AF64" si="45">IF(OR(AE$21="",$G64=""),"",AD64)</f>
        <v/>
      </c>
      <c r="AF64" s="1" t="str">
        <f t="shared" si="45"/>
        <v/>
      </c>
    </row>
    <row r="65" spans="1:33" ht="12.75" customHeight="1" x14ac:dyDescent="0.2">
      <c r="D65" s="1"/>
      <c r="F65" s="21" t="s">
        <v>41</v>
      </c>
      <c r="G65" s="1"/>
      <c r="H65" s="1" t="str">
        <f t="shared" si="2"/>
        <v/>
      </c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 t="str">
        <f t="shared" ref="AE65:AF65" si="46">IF(OR(AE$21="",$G65=""),"",AD65)</f>
        <v/>
      </c>
      <c r="AF65" s="1" t="str">
        <f t="shared" si="46"/>
        <v/>
      </c>
    </row>
    <row r="66" spans="1:33" ht="12.75" customHeight="1" x14ac:dyDescent="0.2">
      <c r="D66" s="1"/>
      <c r="F66" s="21" t="s">
        <v>42</v>
      </c>
      <c r="G66" s="1"/>
      <c r="H66" s="1" t="str">
        <f t="shared" si="2"/>
        <v/>
      </c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</row>
    <row r="67" spans="1:33" ht="12.75" customHeight="1" x14ac:dyDescent="0.2">
      <c r="D67" s="1"/>
      <c r="F67" s="2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</row>
    <row r="68" spans="1:33" ht="12.75" customHeight="1" x14ac:dyDescent="0.2">
      <c r="D68" s="1"/>
      <c r="F68" s="2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</row>
    <row r="69" spans="1:33" ht="12.75" customHeight="1" x14ac:dyDescent="0.2">
      <c r="D69" s="1"/>
      <c r="F69" s="2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</row>
    <row r="70" spans="1:33" ht="12.75" customHeight="1" x14ac:dyDescent="0.2">
      <c r="D70" s="1"/>
      <c r="F70" s="2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</row>
    <row r="71" spans="1:33" ht="12.75" customHeight="1" x14ac:dyDescent="0.2">
      <c r="A71" s="1"/>
      <c r="D71" s="1"/>
      <c r="F71" s="21" t="str">
        <f>IF(C71&lt;&gt;"","Planned","")</f>
        <v/>
      </c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</row>
    <row r="72" spans="1:33" ht="12.75" customHeight="1" x14ac:dyDescent="0.2">
      <c r="D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</row>
    <row r="73" spans="1:33" ht="12.75" customHeight="1" x14ac:dyDescent="0.2">
      <c r="D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pans="1:33" ht="12.75" customHeight="1" x14ac:dyDescent="0.2">
      <c r="D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pans="1:33" ht="12.75" customHeight="1" x14ac:dyDescent="0.2">
      <c r="D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</row>
    <row r="76" spans="1:33" ht="12.75" customHeight="1" x14ac:dyDescent="0.2">
      <c r="D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</row>
    <row r="77" spans="1:33" ht="12.75" customHeight="1" x14ac:dyDescent="0.2">
      <c r="D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pans="1:33" ht="12.75" customHeight="1" x14ac:dyDescent="0.2">
      <c r="D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</row>
    <row r="79" spans="1:33" ht="12.75" customHeight="1" x14ac:dyDescent="0.2">
      <c r="D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</row>
    <row r="80" spans="1:33" ht="12.75" customHeight="1" x14ac:dyDescent="0.2">
      <c r="D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</row>
    <row r="81" spans="4:32" ht="12.75" customHeight="1" x14ac:dyDescent="0.2">
      <c r="D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</row>
    <row r="82" spans="4:32" ht="12.75" customHeight="1" x14ac:dyDescent="0.2">
      <c r="D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</row>
    <row r="83" spans="4:32" ht="12.75" customHeight="1" x14ac:dyDescent="0.2">
      <c r="D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</row>
    <row r="84" spans="4:32" ht="12.75" customHeight="1" x14ac:dyDescent="0.2">
      <c r="D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</row>
    <row r="85" spans="4:32" ht="12.75" customHeight="1" x14ac:dyDescent="0.2">
      <c r="D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</row>
    <row r="86" spans="4:32" ht="12.75" customHeight="1" x14ac:dyDescent="0.2">
      <c r="D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</row>
    <row r="87" spans="4:32" ht="12.75" customHeight="1" x14ac:dyDescent="0.2">
      <c r="D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</row>
    <row r="88" spans="4:32" ht="12.75" customHeight="1" x14ac:dyDescent="0.2">
      <c r="D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</row>
    <row r="89" spans="4:32" ht="12.75" customHeight="1" x14ac:dyDescent="0.2">
      <c r="D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</row>
    <row r="90" spans="4:32" ht="12.75" customHeight="1" x14ac:dyDescent="0.2">
      <c r="D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</row>
    <row r="91" spans="4:32" ht="12.75" customHeight="1" x14ac:dyDescent="0.2">
      <c r="D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</row>
    <row r="92" spans="4:32" ht="12.75" customHeight="1" x14ac:dyDescent="0.2">
      <c r="D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</row>
    <row r="93" spans="4:32" ht="12.75" customHeight="1" x14ac:dyDescent="0.2">
      <c r="D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</row>
    <row r="94" spans="4:32" ht="12.75" customHeight="1" x14ac:dyDescent="0.2">
      <c r="D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</row>
    <row r="95" spans="4:32" ht="12.75" customHeight="1" x14ac:dyDescent="0.2">
      <c r="D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</row>
    <row r="96" spans="4:32" ht="12.75" customHeight="1" x14ac:dyDescent="0.2">
      <c r="D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</row>
    <row r="97" spans="4:32" ht="12.75" customHeight="1" x14ac:dyDescent="0.2">
      <c r="D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</row>
    <row r="98" spans="4:32" ht="12.75" customHeight="1" x14ac:dyDescent="0.2">
      <c r="D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</row>
    <row r="99" spans="4:32" ht="12.75" customHeight="1" x14ac:dyDescent="0.2">
      <c r="D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</row>
    <row r="100" spans="4:32" ht="12.75" customHeight="1" x14ac:dyDescent="0.2">
      <c r="D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</row>
    <row r="101" spans="4:32" ht="12.75" customHeight="1" x14ac:dyDescent="0.2">
      <c r="D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</row>
    <row r="102" spans="4:32" ht="12.75" customHeight="1" x14ac:dyDescent="0.2">
      <c r="D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</row>
    <row r="103" spans="4:32" ht="12.75" customHeight="1" x14ac:dyDescent="0.2">
      <c r="D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</row>
    <row r="104" spans="4:32" ht="12.75" customHeight="1" x14ac:dyDescent="0.2">
      <c r="D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</row>
    <row r="105" spans="4:32" ht="12.75" customHeight="1" x14ac:dyDescent="0.2">
      <c r="D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</row>
    <row r="106" spans="4:32" ht="12.75" customHeight="1" x14ac:dyDescent="0.2">
      <c r="D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</row>
    <row r="107" spans="4:32" ht="12.75" customHeight="1" x14ac:dyDescent="0.2">
      <c r="D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</row>
    <row r="108" spans="4:32" ht="12.75" customHeight="1" x14ac:dyDescent="0.2">
      <c r="D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</row>
    <row r="109" spans="4:32" ht="12.75" customHeight="1" x14ac:dyDescent="0.2">
      <c r="D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</row>
    <row r="110" spans="4:32" ht="12.75" customHeight="1" x14ac:dyDescent="0.2">
      <c r="D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</row>
    <row r="111" spans="4:32" ht="12.75" customHeight="1" x14ac:dyDescent="0.2">
      <c r="D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</row>
    <row r="112" spans="4:32" ht="12.75" customHeight="1" x14ac:dyDescent="0.2">
      <c r="D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</row>
    <row r="113" spans="4:32" ht="12.75" customHeight="1" x14ac:dyDescent="0.2">
      <c r="D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</row>
    <row r="114" spans="4:32" ht="12.75" customHeight="1" x14ac:dyDescent="0.2">
      <c r="D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</row>
    <row r="115" spans="4:32" ht="12.75" customHeight="1" x14ac:dyDescent="0.2">
      <c r="D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</row>
    <row r="116" spans="4:32" ht="12.75" customHeight="1" x14ac:dyDescent="0.2">
      <c r="D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</row>
    <row r="117" spans="4:32" ht="12.75" customHeight="1" x14ac:dyDescent="0.2">
      <c r="D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</row>
    <row r="118" spans="4:32" ht="12.75" customHeight="1" x14ac:dyDescent="0.2">
      <c r="D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</row>
    <row r="119" spans="4:32" ht="12.75" customHeight="1" x14ac:dyDescent="0.2">
      <c r="D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</row>
    <row r="120" spans="4:32" ht="12.75" customHeight="1" x14ac:dyDescent="0.2">
      <c r="D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</row>
    <row r="121" spans="4:32" ht="12.75" customHeight="1" x14ac:dyDescent="0.2">
      <c r="D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</row>
    <row r="122" spans="4:32" ht="12.75" customHeight="1" x14ac:dyDescent="0.2">
      <c r="D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</row>
    <row r="123" spans="4:32" ht="12.75" customHeight="1" x14ac:dyDescent="0.2">
      <c r="D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</row>
    <row r="124" spans="4:32" ht="12.75" customHeight="1" x14ac:dyDescent="0.2">
      <c r="D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</row>
    <row r="125" spans="4:32" ht="12.75" customHeight="1" x14ac:dyDescent="0.2">
      <c r="D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</row>
    <row r="126" spans="4:32" ht="12.75" customHeight="1" x14ac:dyDescent="0.2">
      <c r="D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</row>
    <row r="127" spans="4:32" ht="12.75" customHeight="1" x14ac:dyDescent="0.2">
      <c r="D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</row>
    <row r="128" spans="4:32" ht="12.75" customHeight="1" x14ac:dyDescent="0.2">
      <c r="D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</row>
    <row r="129" spans="4:32" ht="12.75" customHeight="1" x14ac:dyDescent="0.2">
      <c r="D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</row>
    <row r="130" spans="4:32" ht="12.75" customHeight="1" x14ac:dyDescent="0.2">
      <c r="D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</row>
    <row r="131" spans="4:32" ht="12.75" customHeight="1" x14ac:dyDescent="0.2">
      <c r="D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</row>
    <row r="132" spans="4:32" ht="12.75" customHeight="1" x14ac:dyDescent="0.2">
      <c r="D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</row>
    <row r="133" spans="4:32" ht="12.75" customHeight="1" x14ac:dyDescent="0.2">
      <c r="D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</row>
    <row r="134" spans="4:32" ht="12.75" customHeight="1" x14ac:dyDescent="0.2">
      <c r="D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</row>
    <row r="135" spans="4:32" ht="12.75" customHeight="1" x14ac:dyDescent="0.2">
      <c r="D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</row>
    <row r="136" spans="4:32" ht="12.75" customHeight="1" x14ac:dyDescent="0.2">
      <c r="D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</row>
    <row r="137" spans="4:32" ht="12.75" customHeight="1" x14ac:dyDescent="0.2">
      <c r="D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</row>
    <row r="138" spans="4:32" ht="12.75" customHeight="1" x14ac:dyDescent="0.2">
      <c r="D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</row>
    <row r="139" spans="4:32" ht="12.75" customHeight="1" x14ac:dyDescent="0.2">
      <c r="D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</row>
    <row r="140" spans="4:32" ht="12.75" customHeight="1" x14ac:dyDescent="0.2">
      <c r="D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</row>
    <row r="141" spans="4:32" ht="12.75" customHeight="1" x14ac:dyDescent="0.2">
      <c r="D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</row>
    <row r="142" spans="4:32" ht="12.75" customHeight="1" x14ac:dyDescent="0.2">
      <c r="D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</row>
    <row r="143" spans="4:32" ht="12.75" customHeight="1" x14ac:dyDescent="0.2">
      <c r="D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</row>
    <row r="144" spans="4:32" ht="12.75" customHeight="1" x14ac:dyDescent="0.2">
      <c r="D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</row>
    <row r="145" spans="4:32" ht="12.75" customHeight="1" x14ac:dyDescent="0.2">
      <c r="D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</row>
    <row r="146" spans="4:32" ht="12.75" customHeight="1" x14ac:dyDescent="0.2">
      <c r="D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</row>
    <row r="147" spans="4:32" ht="12.75" customHeight="1" x14ac:dyDescent="0.2">
      <c r="D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</row>
    <row r="148" spans="4:32" ht="12.75" customHeight="1" x14ac:dyDescent="0.2">
      <c r="D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</row>
    <row r="149" spans="4:32" ht="12.75" customHeight="1" x14ac:dyDescent="0.2">
      <c r="D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</row>
    <row r="150" spans="4:32" ht="12.75" customHeight="1" x14ac:dyDescent="0.2">
      <c r="D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</row>
    <row r="151" spans="4:32" ht="12.75" customHeight="1" x14ac:dyDescent="0.2">
      <c r="D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</row>
    <row r="152" spans="4:32" ht="12.75" customHeight="1" x14ac:dyDescent="0.2">
      <c r="D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</row>
    <row r="153" spans="4:32" ht="12.75" customHeight="1" x14ac:dyDescent="0.2">
      <c r="D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</row>
    <row r="154" spans="4:32" ht="12.75" customHeight="1" x14ac:dyDescent="0.2">
      <c r="D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</row>
    <row r="155" spans="4:32" ht="12.75" customHeight="1" x14ac:dyDescent="0.2">
      <c r="D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</row>
    <row r="156" spans="4:32" ht="12.75" customHeight="1" x14ac:dyDescent="0.2">
      <c r="D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</row>
    <row r="157" spans="4:32" ht="12.75" customHeight="1" x14ac:dyDescent="0.2">
      <c r="D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</row>
    <row r="158" spans="4:32" ht="12.75" customHeight="1" x14ac:dyDescent="0.2">
      <c r="D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</row>
    <row r="159" spans="4:32" ht="12.75" customHeight="1" x14ac:dyDescent="0.2">
      <c r="D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</row>
    <row r="160" spans="4:32" ht="12.75" customHeight="1" x14ac:dyDescent="0.2">
      <c r="D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</row>
    <row r="161" spans="4:32" ht="12.75" customHeight="1" x14ac:dyDescent="0.2">
      <c r="D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</row>
    <row r="162" spans="4:32" ht="12.75" customHeight="1" x14ac:dyDescent="0.2">
      <c r="D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</row>
    <row r="163" spans="4:32" ht="12.75" customHeight="1" x14ac:dyDescent="0.2">
      <c r="D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</row>
    <row r="164" spans="4:32" ht="12.75" customHeight="1" x14ac:dyDescent="0.2">
      <c r="D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</row>
    <row r="165" spans="4:32" ht="12.75" customHeight="1" x14ac:dyDescent="0.2">
      <c r="D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</row>
    <row r="166" spans="4:32" ht="12.75" customHeight="1" x14ac:dyDescent="0.2">
      <c r="D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</row>
    <row r="167" spans="4:32" ht="12.75" customHeight="1" x14ac:dyDescent="0.2">
      <c r="D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</row>
    <row r="168" spans="4:32" ht="12.75" customHeight="1" x14ac:dyDescent="0.2">
      <c r="D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</row>
    <row r="169" spans="4:32" ht="12.75" customHeight="1" x14ac:dyDescent="0.2">
      <c r="D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</row>
    <row r="170" spans="4:32" ht="12.75" customHeight="1" x14ac:dyDescent="0.2">
      <c r="D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</row>
    <row r="171" spans="4:32" ht="12.75" customHeight="1" x14ac:dyDescent="0.2">
      <c r="D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</row>
    <row r="172" spans="4:32" ht="12.75" customHeight="1" x14ac:dyDescent="0.2">
      <c r="D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</row>
    <row r="173" spans="4:32" ht="12.75" customHeight="1" x14ac:dyDescent="0.2">
      <c r="D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</row>
    <row r="174" spans="4:32" ht="12.75" customHeight="1" x14ac:dyDescent="0.2">
      <c r="D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</row>
    <row r="175" spans="4:32" ht="12.75" customHeight="1" x14ac:dyDescent="0.2">
      <c r="D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</row>
    <row r="176" spans="4:32" ht="12.75" customHeight="1" x14ac:dyDescent="0.2">
      <c r="D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</row>
    <row r="177" spans="4:32" ht="12.75" customHeight="1" x14ac:dyDescent="0.2">
      <c r="D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</row>
    <row r="178" spans="4:32" ht="12.75" customHeight="1" x14ac:dyDescent="0.2">
      <c r="D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</row>
    <row r="179" spans="4:32" ht="12.75" customHeight="1" x14ac:dyDescent="0.2">
      <c r="D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</row>
    <row r="180" spans="4:32" ht="12.75" customHeight="1" x14ac:dyDescent="0.2">
      <c r="D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</row>
    <row r="181" spans="4:32" ht="12.75" customHeight="1" x14ac:dyDescent="0.2">
      <c r="D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</row>
    <row r="182" spans="4:32" ht="12.75" customHeight="1" x14ac:dyDescent="0.2">
      <c r="D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</row>
    <row r="183" spans="4:32" ht="12.75" customHeight="1" x14ac:dyDescent="0.2">
      <c r="D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</row>
    <row r="184" spans="4:32" ht="12.75" customHeight="1" x14ac:dyDescent="0.2">
      <c r="D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</row>
    <row r="185" spans="4:32" ht="12.75" customHeight="1" x14ac:dyDescent="0.2">
      <c r="D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</row>
    <row r="186" spans="4:32" ht="12.75" customHeight="1" x14ac:dyDescent="0.2">
      <c r="D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</row>
    <row r="187" spans="4:32" ht="12.75" customHeight="1" x14ac:dyDescent="0.2">
      <c r="D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</row>
    <row r="188" spans="4:32" ht="12.75" customHeight="1" x14ac:dyDescent="0.2">
      <c r="D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</row>
    <row r="189" spans="4:32" ht="12.75" customHeight="1" x14ac:dyDescent="0.2">
      <c r="D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</row>
    <row r="190" spans="4:32" ht="12.75" customHeight="1" x14ac:dyDescent="0.2">
      <c r="D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</row>
    <row r="191" spans="4:32" ht="12.75" customHeight="1" x14ac:dyDescent="0.2">
      <c r="D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</row>
    <row r="192" spans="4:32" ht="12.75" customHeight="1" x14ac:dyDescent="0.2">
      <c r="D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</row>
    <row r="193" spans="4:32" ht="12.75" customHeight="1" x14ac:dyDescent="0.2">
      <c r="D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</row>
    <row r="194" spans="4:32" ht="12.75" customHeight="1" x14ac:dyDescent="0.2">
      <c r="D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</row>
    <row r="195" spans="4:32" ht="12.75" customHeight="1" x14ac:dyDescent="0.2">
      <c r="D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</row>
    <row r="196" spans="4:32" ht="12.75" customHeight="1" x14ac:dyDescent="0.2">
      <c r="D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</row>
    <row r="197" spans="4:32" ht="12.75" customHeight="1" x14ac:dyDescent="0.2">
      <c r="D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</row>
    <row r="198" spans="4:32" ht="12.75" customHeight="1" x14ac:dyDescent="0.2">
      <c r="D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</row>
    <row r="199" spans="4:32" ht="12.75" customHeight="1" x14ac:dyDescent="0.2">
      <c r="D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</row>
    <row r="200" spans="4:32" ht="12.75" customHeight="1" x14ac:dyDescent="0.2">
      <c r="D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</row>
    <row r="201" spans="4:32" ht="12.75" customHeight="1" x14ac:dyDescent="0.2">
      <c r="D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</row>
    <row r="202" spans="4:32" ht="12.75" customHeight="1" x14ac:dyDescent="0.2">
      <c r="D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</row>
    <row r="203" spans="4:32" ht="12.75" customHeight="1" x14ac:dyDescent="0.2">
      <c r="D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</row>
    <row r="204" spans="4:32" ht="12.75" customHeight="1" x14ac:dyDescent="0.2">
      <c r="D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</row>
    <row r="205" spans="4:32" ht="12.75" customHeight="1" x14ac:dyDescent="0.2">
      <c r="D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</row>
    <row r="206" spans="4:32" ht="12.75" customHeight="1" x14ac:dyDescent="0.2">
      <c r="D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</row>
    <row r="207" spans="4:32" ht="12.75" customHeight="1" x14ac:dyDescent="0.2">
      <c r="D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</row>
    <row r="208" spans="4:32" ht="12.75" customHeight="1" x14ac:dyDescent="0.2">
      <c r="D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</row>
    <row r="209" spans="4:32" ht="12.75" customHeight="1" x14ac:dyDescent="0.2">
      <c r="D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</row>
    <row r="210" spans="4:32" ht="12.75" customHeight="1" x14ac:dyDescent="0.2">
      <c r="D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</row>
    <row r="211" spans="4:32" ht="12.75" customHeight="1" x14ac:dyDescent="0.2">
      <c r="D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</row>
    <row r="212" spans="4:32" ht="12.75" customHeight="1" x14ac:dyDescent="0.2">
      <c r="D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</row>
    <row r="213" spans="4:32" ht="12.75" customHeight="1" x14ac:dyDescent="0.2">
      <c r="D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</row>
    <row r="214" spans="4:32" ht="12.75" customHeight="1" x14ac:dyDescent="0.2">
      <c r="D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</row>
    <row r="215" spans="4:32" ht="12.75" customHeight="1" x14ac:dyDescent="0.2">
      <c r="D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</row>
    <row r="216" spans="4:32" ht="12.75" customHeight="1" x14ac:dyDescent="0.2">
      <c r="D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</row>
    <row r="217" spans="4:32" ht="12.75" customHeight="1" x14ac:dyDescent="0.2">
      <c r="D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</row>
    <row r="218" spans="4:32" ht="12.75" customHeight="1" x14ac:dyDescent="0.2">
      <c r="D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</row>
    <row r="219" spans="4:32" ht="12.75" customHeight="1" x14ac:dyDescent="0.2">
      <c r="D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</row>
    <row r="220" spans="4:32" ht="12.75" customHeight="1" x14ac:dyDescent="0.2">
      <c r="D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</row>
    <row r="221" spans="4:32" ht="12.75" customHeight="1" x14ac:dyDescent="0.2">
      <c r="D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</row>
    <row r="222" spans="4:32" ht="12.75" customHeight="1" x14ac:dyDescent="0.2">
      <c r="D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</row>
    <row r="223" spans="4:32" ht="12.75" customHeight="1" x14ac:dyDescent="0.2">
      <c r="D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</row>
    <row r="224" spans="4:32" ht="12.75" customHeight="1" x14ac:dyDescent="0.2">
      <c r="D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</row>
    <row r="225" spans="4:32" ht="12.75" customHeight="1" x14ac:dyDescent="0.2">
      <c r="D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</row>
    <row r="226" spans="4:32" ht="12.75" customHeight="1" x14ac:dyDescent="0.2">
      <c r="D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</row>
    <row r="227" spans="4:32" ht="12.75" customHeight="1" x14ac:dyDescent="0.2">
      <c r="D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</row>
    <row r="228" spans="4:32" ht="12.75" customHeight="1" x14ac:dyDescent="0.2">
      <c r="D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</row>
    <row r="229" spans="4:32" ht="12.75" customHeight="1" x14ac:dyDescent="0.2">
      <c r="D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</row>
    <row r="230" spans="4:32" ht="12.75" customHeight="1" x14ac:dyDescent="0.2">
      <c r="D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</row>
    <row r="231" spans="4:32" ht="12.75" customHeight="1" x14ac:dyDescent="0.2">
      <c r="D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</row>
    <row r="232" spans="4:32" ht="12.75" customHeight="1" x14ac:dyDescent="0.2">
      <c r="D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</row>
    <row r="233" spans="4:32" ht="12.75" customHeight="1" x14ac:dyDescent="0.2">
      <c r="D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</row>
    <row r="234" spans="4:32" ht="12.75" customHeight="1" x14ac:dyDescent="0.2">
      <c r="D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</row>
    <row r="235" spans="4:32" ht="12.75" customHeight="1" x14ac:dyDescent="0.2">
      <c r="D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</row>
    <row r="236" spans="4:32" ht="12.75" customHeight="1" x14ac:dyDescent="0.2">
      <c r="D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</row>
    <row r="237" spans="4:32" ht="12.75" customHeight="1" x14ac:dyDescent="0.2">
      <c r="D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</row>
    <row r="238" spans="4:32" ht="12.75" customHeight="1" x14ac:dyDescent="0.2">
      <c r="D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</row>
    <row r="239" spans="4:32" ht="12.75" customHeight="1" x14ac:dyDescent="0.2">
      <c r="D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</row>
    <row r="240" spans="4:32" ht="12.75" customHeight="1" x14ac:dyDescent="0.2">
      <c r="D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</row>
    <row r="241" spans="4:32" ht="12.75" customHeight="1" x14ac:dyDescent="0.2">
      <c r="D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</row>
    <row r="242" spans="4:32" ht="12.75" customHeight="1" x14ac:dyDescent="0.2">
      <c r="D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</row>
    <row r="243" spans="4:32" ht="12.75" customHeight="1" x14ac:dyDescent="0.2">
      <c r="D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</row>
    <row r="244" spans="4:32" ht="12.75" customHeight="1" x14ac:dyDescent="0.2">
      <c r="D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</row>
    <row r="245" spans="4:32" ht="12.75" customHeight="1" x14ac:dyDescent="0.2">
      <c r="D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</row>
    <row r="246" spans="4:32" ht="12.75" customHeight="1" x14ac:dyDescent="0.2">
      <c r="D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</row>
    <row r="247" spans="4:32" ht="12.75" customHeight="1" x14ac:dyDescent="0.2">
      <c r="D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</row>
    <row r="248" spans="4:32" ht="12.75" customHeight="1" x14ac:dyDescent="0.2">
      <c r="D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</row>
    <row r="249" spans="4:32" ht="12.75" customHeight="1" x14ac:dyDescent="0.2">
      <c r="D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</row>
    <row r="250" spans="4:32" ht="12.75" customHeight="1" x14ac:dyDescent="0.2">
      <c r="D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</row>
    <row r="251" spans="4:32" ht="12.75" customHeight="1" x14ac:dyDescent="0.2">
      <c r="D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</row>
    <row r="252" spans="4:32" ht="12.75" customHeight="1" x14ac:dyDescent="0.2">
      <c r="D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</row>
    <row r="253" spans="4:32" ht="12.75" customHeight="1" x14ac:dyDescent="0.2">
      <c r="D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</row>
    <row r="254" spans="4:32" ht="12.75" customHeight="1" x14ac:dyDescent="0.2">
      <c r="D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</row>
    <row r="255" spans="4:32" ht="12.75" customHeight="1" x14ac:dyDescent="0.2">
      <c r="D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</row>
    <row r="256" spans="4:32" ht="12.75" customHeight="1" x14ac:dyDescent="0.2">
      <c r="D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</row>
    <row r="257" spans="4:32" ht="12.75" customHeight="1" x14ac:dyDescent="0.2">
      <c r="D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</row>
    <row r="258" spans="4:32" ht="12.75" customHeight="1" x14ac:dyDescent="0.2">
      <c r="D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</row>
    <row r="259" spans="4:32" ht="12.75" customHeight="1" x14ac:dyDescent="0.2">
      <c r="D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</row>
    <row r="260" spans="4:32" ht="12.75" customHeight="1" x14ac:dyDescent="0.2">
      <c r="D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</row>
    <row r="261" spans="4:32" ht="12.75" customHeight="1" x14ac:dyDescent="0.2">
      <c r="D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</row>
    <row r="262" spans="4:32" ht="12.75" customHeight="1" x14ac:dyDescent="0.2">
      <c r="D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</row>
    <row r="263" spans="4:32" ht="12.75" customHeight="1" x14ac:dyDescent="0.2">
      <c r="D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</row>
    <row r="264" spans="4:32" ht="12.75" customHeight="1" x14ac:dyDescent="0.2">
      <c r="D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</row>
    <row r="265" spans="4:32" ht="12.75" customHeight="1" x14ac:dyDescent="0.2">
      <c r="D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</row>
    <row r="266" spans="4:32" ht="12.75" customHeight="1" x14ac:dyDescent="0.2">
      <c r="D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</row>
    <row r="267" spans="4:32" ht="12.75" customHeight="1" x14ac:dyDescent="0.2">
      <c r="D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</row>
    <row r="268" spans="4:32" ht="12.75" customHeight="1" x14ac:dyDescent="0.2">
      <c r="D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</row>
    <row r="269" spans="4:32" ht="12.75" customHeight="1" x14ac:dyDescent="0.2">
      <c r="D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</row>
    <row r="270" spans="4:32" ht="12.75" customHeight="1" x14ac:dyDescent="0.2">
      <c r="D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</row>
    <row r="271" spans="4:32" ht="12.75" customHeight="1" x14ac:dyDescent="0.2">
      <c r="D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</row>
    <row r="272" spans="4:32" ht="12.75" customHeight="1" x14ac:dyDescent="0.2">
      <c r="D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</row>
    <row r="273" spans="4:32" ht="12.75" customHeight="1" x14ac:dyDescent="0.2">
      <c r="D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</row>
    <row r="274" spans="4:32" ht="12.75" customHeight="1" x14ac:dyDescent="0.2">
      <c r="D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</row>
    <row r="275" spans="4:32" ht="12.75" customHeight="1" x14ac:dyDescent="0.2">
      <c r="D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</row>
    <row r="276" spans="4:32" ht="12.75" customHeight="1" x14ac:dyDescent="0.2">
      <c r="D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</row>
    <row r="277" spans="4:32" ht="12.75" customHeight="1" x14ac:dyDescent="0.2">
      <c r="D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</row>
    <row r="278" spans="4:32" ht="12.75" customHeight="1" x14ac:dyDescent="0.2">
      <c r="D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</row>
    <row r="279" spans="4:32" ht="12.75" customHeight="1" x14ac:dyDescent="0.2">
      <c r="D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</row>
    <row r="280" spans="4:32" ht="12.75" customHeight="1" x14ac:dyDescent="0.2">
      <c r="D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</row>
    <row r="281" spans="4:32" ht="12.75" customHeight="1" x14ac:dyDescent="0.2">
      <c r="D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</row>
    <row r="282" spans="4:32" ht="12.75" customHeight="1" x14ac:dyDescent="0.2">
      <c r="D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</row>
    <row r="283" spans="4:32" ht="12.75" customHeight="1" x14ac:dyDescent="0.2">
      <c r="D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</row>
    <row r="284" spans="4:32" ht="12.75" customHeight="1" x14ac:dyDescent="0.2">
      <c r="D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</row>
    <row r="285" spans="4:32" ht="12.75" customHeight="1" x14ac:dyDescent="0.2">
      <c r="D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</row>
    <row r="286" spans="4:32" ht="12.75" customHeight="1" x14ac:dyDescent="0.2">
      <c r="D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</row>
    <row r="287" spans="4:32" ht="12.75" customHeight="1" x14ac:dyDescent="0.2">
      <c r="D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</row>
    <row r="288" spans="4:32" ht="12.75" customHeight="1" x14ac:dyDescent="0.2">
      <c r="D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</row>
    <row r="289" spans="4:32" ht="12.75" customHeight="1" x14ac:dyDescent="0.2">
      <c r="D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</row>
    <row r="290" spans="4:32" ht="12.75" customHeight="1" x14ac:dyDescent="0.2">
      <c r="D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</row>
    <row r="291" spans="4:32" ht="12.75" customHeight="1" x14ac:dyDescent="0.2">
      <c r="D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</row>
    <row r="292" spans="4:32" ht="12.75" customHeight="1" x14ac:dyDescent="0.2">
      <c r="D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</row>
    <row r="293" spans="4:32" ht="12.75" customHeight="1" x14ac:dyDescent="0.2">
      <c r="D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</row>
    <row r="294" spans="4:32" ht="12.75" customHeight="1" x14ac:dyDescent="0.2">
      <c r="D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</row>
    <row r="295" spans="4:32" ht="12.75" customHeight="1" x14ac:dyDescent="0.2">
      <c r="D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</row>
    <row r="296" spans="4:32" ht="12.75" customHeight="1" x14ac:dyDescent="0.2">
      <c r="D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</row>
    <row r="297" spans="4:32" ht="12.75" customHeight="1" x14ac:dyDescent="0.2">
      <c r="D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</row>
    <row r="298" spans="4:32" ht="12.75" customHeight="1" x14ac:dyDescent="0.2">
      <c r="D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</row>
    <row r="299" spans="4:32" ht="12.75" customHeight="1" x14ac:dyDescent="0.2">
      <c r="D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</row>
    <row r="300" spans="4:32" ht="12.75" customHeight="1" x14ac:dyDescent="0.2">
      <c r="D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</row>
    <row r="301" spans="4:32" ht="12.75" customHeight="1" x14ac:dyDescent="0.2">
      <c r="D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</row>
    <row r="302" spans="4:32" ht="12.75" customHeight="1" x14ac:dyDescent="0.2">
      <c r="D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</row>
    <row r="303" spans="4:32" ht="12.75" customHeight="1" x14ac:dyDescent="0.2">
      <c r="D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</row>
    <row r="304" spans="4:32" ht="12.75" customHeight="1" x14ac:dyDescent="0.2">
      <c r="D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</row>
    <row r="305" spans="4:32" ht="12.75" customHeight="1" x14ac:dyDescent="0.2">
      <c r="D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</row>
    <row r="306" spans="4:32" ht="12.75" customHeight="1" x14ac:dyDescent="0.2">
      <c r="D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</row>
    <row r="307" spans="4:32" ht="12.75" customHeight="1" x14ac:dyDescent="0.2">
      <c r="D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</row>
    <row r="308" spans="4:32" ht="12.75" customHeight="1" x14ac:dyDescent="0.2">
      <c r="D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</row>
    <row r="309" spans="4:32" ht="12.75" customHeight="1" x14ac:dyDescent="0.2">
      <c r="D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</row>
    <row r="310" spans="4:32" ht="12.75" customHeight="1" x14ac:dyDescent="0.2">
      <c r="D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</row>
    <row r="311" spans="4:32" ht="12.75" customHeight="1" x14ac:dyDescent="0.2">
      <c r="D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</row>
    <row r="312" spans="4:32" ht="12.75" customHeight="1" x14ac:dyDescent="0.2">
      <c r="D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</row>
    <row r="313" spans="4:32" ht="12.75" customHeight="1" x14ac:dyDescent="0.2">
      <c r="D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</row>
    <row r="314" spans="4:32" ht="12.75" customHeight="1" x14ac:dyDescent="0.2">
      <c r="D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</row>
    <row r="315" spans="4:32" ht="12.75" customHeight="1" x14ac:dyDescent="0.2">
      <c r="D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</row>
    <row r="316" spans="4:32" ht="12.75" customHeight="1" x14ac:dyDescent="0.2">
      <c r="D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</row>
    <row r="317" spans="4:32" ht="12.75" customHeight="1" x14ac:dyDescent="0.2">
      <c r="D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</row>
    <row r="318" spans="4:32" ht="12.75" customHeight="1" x14ac:dyDescent="0.2">
      <c r="D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</row>
    <row r="319" spans="4:32" ht="12.75" customHeight="1" x14ac:dyDescent="0.2">
      <c r="D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</row>
    <row r="320" spans="4:32" ht="12.75" customHeight="1" x14ac:dyDescent="0.2">
      <c r="D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</row>
    <row r="321" spans="4:32" ht="12.75" customHeight="1" x14ac:dyDescent="0.2">
      <c r="D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</row>
    <row r="322" spans="4:32" ht="12.75" customHeight="1" x14ac:dyDescent="0.2">
      <c r="D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</row>
    <row r="323" spans="4:32" ht="12.75" customHeight="1" x14ac:dyDescent="0.2">
      <c r="D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</row>
    <row r="324" spans="4:32" ht="12.75" customHeight="1" x14ac:dyDescent="0.2">
      <c r="D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</row>
    <row r="325" spans="4:32" ht="12.75" customHeight="1" x14ac:dyDescent="0.2">
      <c r="D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</row>
    <row r="326" spans="4:32" ht="12.75" customHeight="1" x14ac:dyDescent="0.2">
      <c r="D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</row>
    <row r="327" spans="4:32" ht="12.75" customHeight="1" x14ac:dyDescent="0.2">
      <c r="D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</row>
    <row r="328" spans="4:32" ht="12.75" customHeight="1" x14ac:dyDescent="0.2">
      <c r="D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</row>
    <row r="329" spans="4:32" ht="12.75" customHeight="1" x14ac:dyDescent="0.2">
      <c r="D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</row>
    <row r="330" spans="4:32" ht="12.75" customHeight="1" x14ac:dyDescent="0.2">
      <c r="D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</row>
    <row r="331" spans="4:32" ht="12.75" customHeight="1" x14ac:dyDescent="0.2">
      <c r="D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</row>
    <row r="332" spans="4:32" ht="12.75" customHeight="1" x14ac:dyDescent="0.2">
      <c r="D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</row>
    <row r="333" spans="4:32" ht="12.75" customHeight="1" x14ac:dyDescent="0.2">
      <c r="D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</row>
    <row r="334" spans="4:32" ht="12.75" customHeight="1" x14ac:dyDescent="0.2">
      <c r="D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</row>
    <row r="335" spans="4:32" ht="12.75" customHeight="1" x14ac:dyDescent="0.2">
      <c r="D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</row>
    <row r="336" spans="4:32" ht="12.75" customHeight="1" x14ac:dyDescent="0.2">
      <c r="D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</row>
    <row r="337" spans="4:32" ht="12.75" customHeight="1" x14ac:dyDescent="0.2">
      <c r="D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</row>
    <row r="338" spans="4:32" ht="12.75" customHeight="1" x14ac:dyDescent="0.2">
      <c r="D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</row>
    <row r="339" spans="4:32" ht="12.75" customHeight="1" x14ac:dyDescent="0.2">
      <c r="D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</row>
    <row r="340" spans="4:32" ht="12.75" customHeight="1" x14ac:dyDescent="0.2">
      <c r="D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</row>
    <row r="341" spans="4:32" ht="12.75" customHeight="1" x14ac:dyDescent="0.2">
      <c r="D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</row>
    <row r="342" spans="4:32" ht="12.75" customHeight="1" x14ac:dyDescent="0.2">
      <c r="D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</row>
    <row r="343" spans="4:32" ht="12.75" customHeight="1" x14ac:dyDescent="0.2">
      <c r="D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</row>
    <row r="344" spans="4:32" ht="12.75" customHeight="1" x14ac:dyDescent="0.2">
      <c r="D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</row>
    <row r="345" spans="4:32" ht="12.75" customHeight="1" x14ac:dyDescent="0.2">
      <c r="D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</row>
    <row r="346" spans="4:32" ht="12.75" customHeight="1" x14ac:dyDescent="0.2">
      <c r="D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</row>
    <row r="347" spans="4:32" ht="12.75" customHeight="1" x14ac:dyDescent="0.2">
      <c r="D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</row>
    <row r="348" spans="4:32" ht="12.75" customHeight="1" x14ac:dyDescent="0.2">
      <c r="D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</row>
    <row r="349" spans="4:32" ht="12.75" customHeight="1" x14ac:dyDescent="0.2">
      <c r="D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</row>
    <row r="350" spans="4:32" ht="12.75" customHeight="1" x14ac:dyDescent="0.2">
      <c r="D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</row>
    <row r="351" spans="4:32" ht="12.75" customHeight="1" x14ac:dyDescent="0.2">
      <c r="D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</row>
    <row r="352" spans="4:32" ht="12.75" customHeight="1" x14ac:dyDescent="0.2">
      <c r="D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</row>
    <row r="353" spans="4:32" ht="12.75" customHeight="1" x14ac:dyDescent="0.2">
      <c r="D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</row>
    <row r="354" spans="4:32" ht="12.75" customHeight="1" x14ac:dyDescent="0.2">
      <c r="D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</row>
    <row r="355" spans="4:32" ht="12.75" customHeight="1" x14ac:dyDescent="0.2">
      <c r="D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</row>
    <row r="356" spans="4:32" ht="12.75" customHeight="1" x14ac:dyDescent="0.2">
      <c r="D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</row>
    <row r="357" spans="4:32" ht="12.75" customHeight="1" x14ac:dyDescent="0.2">
      <c r="D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</row>
    <row r="358" spans="4:32" ht="12.75" customHeight="1" x14ac:dyDescent="0.2">
      <c r="D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</row>
    <row r="359" spans="4:32" ht="12.75" customHeight="1" x14ac:dyDescent="0.2">
      <c r="D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</row>
    <row r="360" spans="4:32" ht="12.75" customHeight="1" x14ac:dyDescent="0.2">
      <c r="D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</row>
    <row r="361" spans="4:32" ht="12.75" customHeight="1" x14ac:dyDescent="0.2">
      <c r="D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</row>
    <row r="362" spans="4:32" ht="12.75" customHeight="1" x14ac:dyDescent="0.2">
      <c r="D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</row>
    <row r="363" spans="4:32" ht="12.75" customHeight="1" x14ac:dyDescent="0.2">
      <c r="D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</row>
    <row r="364" spans="4:32" ht="12.75" customHeight="1" x14ac:dyDescent="0.2">
      <c r="D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</row>
    <row r="365" spans="4:32" ht="12.75" customHeight="1" x14ac:dyDescent="0.2">
      <c r="D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</row>
    <row r="366" spans="4:32" ht="12.75" customHeight="1" x14ac:dyDescent="0.2">
      <c r="D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</row>
    <row r="367" spans="4:32" ht="12.75" customHeight="1" x14ac:dyDescent="0.2">
      <c r="D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</row>
    <row r="368" spans="4:32" ht="12.75" customHeight="1" x14ac:dyDescent="0.2">
      <c r="D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</row>
    <row r="369" spans="4:32" ht="12.75" customHeight="1" x14ac:dyDescent="0.2">
      <c r="D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</row>
    <row r="370" spans="4:32" ht="12.75" customHeight="1" x14ac:dyDescent="0.2">
      <c r="D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</row>
    <row r="371" spans="4:32" ht="12.75" customHeight="1" x14ac:dyDescent="0.2">
      <c r="D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</row>
    <row r="372" spans="4:32" ht="12.75" customHeight="1" x14ac:dyDescent="0.2">
      <c r="D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</row>
    <row r="373" spans="4:32" ht="12.75" customHeight="1" x14ac:dyDescent="0.2">
      <c r="D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</row>
    <row r="374" spans="4:32" ht="12.75" customHeight="1" x14ac:dyDescent="0.2">
      <c r="D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</row>
    <row r="375" spans="4:32" ht="12.75" customHeight="1" x14ac:dyDescent="0.2">
      <c r="D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</row>
    <row r="376" spans="4:32" ht="12.75" customHeight="1" x14ac:dyDescent="0.2">
      <c r="D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</row>
    <row r="377" spans="4:32" ht="12.75" customHeight="1" x14ac:dyDescent="0.2">
      <c r="D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</row>
    <row r="378" spans="4:32" ht="12.75" customHeight="1" x14ac:dyDescent="0.2">
      <c r="D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</row>
    <row r="379" spans="4:32" ht="12.75" customHeight="1" x14ac:dyDescent="0.2">
      <c r="D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</row>
    <row r="380" spans="4:32" ht="12.75" customHeight="1" x14ac:dyDescent="0.2">
      <c r="D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</row>
    <row r="381" spans="4:32" ht="12.75" customHeight="1" x14ac:dyDescent="0.2">
      <c r="D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</row>
    <row r="382" spans="4:32" ht="12.75" customHeight="1" x14ac:dyDescent="0.2">
      <c r="D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</row>
    <row r="383" spans="4:32" ht="12.75" customHeight="1" x14ac:dyDescent="0.2">
      <c r="D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</row>
    <row r="384" spans="4:32" ht="12.75" customHeight="1" x14ac:dyDescent="0.2">
      <c r="D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</row>
    <row r="385" spans="4:32" ht="12.75" customHeight="1" x14ac:dyDescent="0.2">
      <c r="D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</row>
    <row r="386" spans="4:32" ht="12.75" customHeight="1" x14ac:dyDescent="0.2">
      <c r="D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</row>
    <row r="387" spans="4:32" ht="12.75" customHeight="1" x14ac:dyDescent="0.2">
      <c r="D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</row>
    <row r="388" spans="4:32" ht="12.75" customHeight="1" x14ac:dyDescent="0.2">
      <c r="D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</row>
    <row r="389" spans="4:32" ht="12.75" customHeight="1" x14ac:dyDescent="0.2">
      <c r="D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</row>
    <row r="390" spans="4:32" ht="12.75" customHeight="1" x14ac:dyDescent="0.2">
      <c r="D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</row>
    <row r="391" spans="4:32" ht="12.75" customHeight="1" x14ac:dyDescent="0.2">
      <c r="D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</row>
    <row r="392" spans="4:32" ht="12.75" customHeight="1" x14ac:dyDescent="0.2">
      <c r="D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</row>
    <row r="393" spans="4:32" ht="12.75" customHeight="1" x14ac:dyDescent="0.2">
      <c r="D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</row>
    <row r="394" spans="4:32" ht="12.75" customHeight="1" x14ac:dyDescent="0.2">
      <c r="D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</row>
    <row r="395" spans="4:32" ht="12.75" customHeight="1" x14ac:dyDescent="0.2">
      <c r="D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</row>
    <row r="396" spans="4:32" ht="12.75" customHeight="1" x14ac:dyDescent="0.2">
      <c r="D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</row>
    <row r="397" spans="4:32" ht="12.75" customHeight="1" x14ac:dyDescent="0.2">
      <c r="D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</row>
    <row r="398" spans="4:32" ht="12.75" customHeight="1" x14ac:dyDescent="0.2">
      <c r="D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</row>
    <row r="399" spans="4:32" ht="12.75" customHeight="1" x14ac:dyDescent="0.2">
      <c r="D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</row>
    <row r="400" spans="4:32" ht="12.75" customHeight="1" x14ac:dyDescent="0.2">
      <c r="D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</row>
    <row r="401" spans="4:32" ht="12.75" customHeight="1" x14ac:dyDescent="0.2">
      <c r="D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</row>
    <row r="402" spans="4:32" ht="12.75" customHeight="1" x14ac:dyDescent="0.2">
      <c r="D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</row>
    <row r="403" spans="4:32" ht="12.75" customHeight="1" x14ac:dyDescent="0.2">
      <c r="D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</row>
    <row r="404" spans="4:32" ht="12.75" customHeight="1" x14ac:dyDescent="0.2">
      <c r="D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</row>
    <row r="405" spans="4:32" ht="12.75" customHeight="1" x14ac:dyDescent="0.2">
      <c r="D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</row>
    <row r="406" spans="4:32" ht="12.75" customHeight="1" x14ac:dyDescent="0.2">
      <c r="D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</row>
    <row r="407" spans="4:32" ht="12.75" customHeight="1" x14ac:dyDescent="0.2">
      <c r="D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</row>
    <row r="408" spans="4:32" ht="12.75" customHeight="1" x14ac:dyDescent="0.2">
      <c r="D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</row>
    <row r="409" spans="4:32" ht="12.75" customHeight="1" x14ac:dyDescent="0.2">
      <c r="D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</row>
    <row r="410" spans="4:32" ht="12.75" customHeight="1" x14ac:dyDescent="0.2">
      <c r="D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</row>
    <row r="411" spans="4:32" ht="12.75" customHeight="1" x14ac:dyDescent="0.2">
      <c r="D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</row>
    <row r="412" spans="4:32" ht="12.75" customHeight="1" x14ac:dyDescent="0.2">
      <c r="D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</row>
    <row r="413" spans="4:32" ht="12.75" customHeight="1" x14ac:dyDescent="0.2">
      <c r="D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</row>
    <row r="414" spans="4:32" ht="12.75" customHeight="1" x14ac:dyDescent="0.2">
      <c r="D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</row>
    <row r="415" spans="4:32" ht="12.75" customHeight="1" x14ac:dyDescent="0.2">
      <c r="D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</row>
    <row r="416" spans="4:32" ht="12.75" customHeight="1" x14ac:dyDescent="0.2">
      <c r="D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</row>
    <row r="417" spans="4:32" ht="12.75" customHeight="1" x14ac:dyDescent="0.2">
      <c r="D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</row>
    <row r="418" spans="4:32" ht="12.75" customHeight="1" x14ac:dyDescent="0.2">
      <c r="D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</row>
    <row r="419" spans="4:32" ht="12.75" customHeight="1" x14ac:dyDescent="0.2">
      <c r="D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</row>
    <row r="420" spans="4:32" ht="12.75" customHeight="1" x14ac:dyDescent="0.2">
      <c r="D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</row>
    <row r="421" spans="4:32" ht="12.75" customHeight="1" x14ac:dyDescent="0.2">
      <c r="D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</row>
    <row r="422" spans="4:32" ht="12.75" customHeight="1" x14ac:dyDescent="0.2">
      <c r="D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</row>
    <row r="423" spans="4:32" ht="12.75" customHeight="1" x14ac:dyDescent="0.2">
      <c r="D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</row>
    <row r="424" spans="4:32" ht="12.75" customHeight="1" x14ac:dyDescent="0.2">
      <c r="D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</row>
    <row r="425" spans="4:32" ht="12.75" customHeight="1" x14ac:dyDescent="0.2">
      <c r="D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</row>
    <row r="426" spans="4:32" ht="12.75" customHeight="1" x14ac:dyDescent="0.2">
      <c r="D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</row>
    <row r="427" spans="4:32" ht="12.75" customHeight="1" x14ac:dyDescent="0.2">
      <c r="D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</row>
    <row r="428" spans="4:32" ht="12.75" customHeight="1" x14ac:dyDescent="0.2">
      <c r="D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</row>
    <row r="429" spans="4:32" ht="12.75" customHeight="1" x14ac:dyDescent="0.2">
      <c r="D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</row>
    <row r="430" spans="4:32" ht="12.75" customHeight="1" x14ac:dyDescent="0.2">
      <c r="D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</row>
    <row r="431" spans="4:32" ht="12.75" customHeight="1" x14ac:dyDescent="0.2">
      <c r="D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</row>
    <row r="432" spans="4:32" ht="12.75" customHeight="1" x14ac:dyDescent="0.2">
      <c r="D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</row>
    <row r="433" spans="4:32" ht="12.75" customHeight="1" x14ac:dyDescent="0.2">
      <c r="D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</row>
    <row r="434" spans="4:32" ht="12.75" customHeight="1" x14ac:dyDescent="0.2">
      <c r="D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</row>
    <row r="435" spans="4:32" ht="12.75" customHeight="1" x14ac:dyDescent="0.2">
      <c r="D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</row>
    <row r="436" spans="4:32" ht="12.75" customHeight="1" x14ac:dyDescent="0.2">
      <c r="D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</row>
    <row r="437" spans="4:32" ht="12.75" customHeight="1" x14ac:dyDescent="0.2">
      <c r="D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</row>
    <row r="438" spans="4:32" ht="12.75" customHeight="1" x14ac:dyDescent="0.2">
      <c r="D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</row>
    <row r="439" spans="4:32" ht="12.75" customHeight="1" x14ac:dyDescent="0.2">
      <c r="D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</row>
    <row r="440" spans="4:32" ht="12.75" customHeight="1" x14ac:dyDescent="0.2">
      <c r="D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</row>
    <row r="441" spans="4:32" ht="12.75" customHeight="1" x14ac:dyDescent="0.2">
      <c r="D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</row>
    <row r="442" spans="4:32" ht="12.75" customHeight="1" x14ac:dyDescent="0.2">
      <c r="D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</row>
    <row r="443" spans="4:32" ht="12.75" customHeight="1" x14ac:dyDescent="0.2">
      <c r="D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</row>
    <row r="444" spans="4:32" ht="12.75" customHeight="1" x14ac:dyDescent="0.2">
      <c r="D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</row>
    <row r="445" spans="4:32" ht="12.75" customHeight="1" x14ac:dyDescent="0.2">
      <c r="D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</row>
    <row r="446" spans="4:32" ht="12.75" customHeight="1" x14ac:dyDescent="0.2">
      <c r="D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</row>
    <row r="447" spans="4:32" ht="12.75" customHeight="1" x14ac:dyDescent="0.2">
      <c r="D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</row>
    <row r="448" spans="4:32" ht="12.75" customHeight="1" x14ac:dyDescent="0.2">
      <c r="D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</row>
    <row r="449" spans="4:32" ht="12.75" customHeight="1" x14ac:dyDescent="0.2">
      <c r="D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</row>
    <row r="450" spans="4:32" ht="12.75" customHeight="1" x14ac:dyDescent="0.2">
      <c r="D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</row>
    <row r="451" spans="4:32" ht="12.75" customHeight="1" x14ac:dyDescent="0.2">
      <c r="D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</row>
    <row r="452" spans="4:32" ht="12.75" customHeight="1" x14ac:dyDescent="0.2">
      <c r="D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</row>
    <row r="453" spans="4:32" ht="12.75" customHeight="1" x14ac:dyDescent="0.2">
      <c r="D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</row>
    <row r="454" spans="4:32" ht="12.75" customHeight="1" x14ac:dyDescent="0.2">
      <c r="D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</row>
    <row r="455" spans="4:32" ht="12.75" customHeight="1" x14ac:dyDescent="0.2">
      <c r="D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</row>
    <row r="456" spans="4:32" ht="12.75" customHeight="1" x14ac:dyDescent="0.2">
      <c r="D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</row>
    <row r="457" spans="4:32" ht="12.75" customHeight="1" x14ac:dyDescent="0.2">
      <c r="D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</row>
    <row r="458" spans="4:32" ht="12.75" customHeight="1" x14ac:dyDescent="0.2">
      <c r="D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</row>
    <row r="459" spans="4:32" ht="12.75" customHeight="1" x14ac:dyDescent="0.2">
      <c r="D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</row>
    <row r="460" spans="4:32" ht="12.75" customHeight="1" x14ac:dyDescent="0.2">
      <c r="D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</row>
    <row r="461" spans="4:32" ht="12.75" customHeight="1" x14ac:dyDescent="0.2">
      <c r="D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</row>
    <row r="462" spans="4:32" ht="12.75" customHeight="1" x14ac:dyDescent="0.2">
      <c r="D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</row>
    <row r="463" spans="4:32" ht="12.75" customHeight="1" x14ac:dyDescent="0.2">
      <c r="D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</row>
    <row r="464" spans="4:32" ht="12.75" customHeight="1" x14ac:dyDescent="0.2">
      <c r="D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</row>
    <row r="465" spans="4:32" ht="12.75" customHeight="1" x14ac:dyDescent="0.2">
      <c r="D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</row>
    <row r="466" spans="4:32" ht="12.75" customHeight="1" x14ac:dyDescent="0.2">
      <c r="D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</row>
    <row r="467" spans="4:32" ht="12.75" customHeight="1" x14ac:dyDescent="0.2">
      <c r="D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</row>
    <row r="468" spans="4:32" ht="12.75" customHeight="1" x14ac:dyDescent="0.2">
      <c r="D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</row>
    <row r="469" spans="4:32" ht="12.75" customHeight="1" x14ac:dyDescent="0.2">
      <c r="D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</row>
    <row r="470" spans="4:32" ht="12.75" customHeight="1" x14ac:dyDescent="0.2">
      <c r="D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</row>
    <row r="471" spans="4:32" ht="12.75" customHeight="1" x14ac:dyDescent="0.2">
      <c r="D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</row>
    <row r="472" spans="4:32" ht="12.75" customHeight="1" x14ac:dyDescent="0.2">
      <c r="D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</row>
    <row r="473" spans="4:32" ht="12.75" customHeight="1" x14ac:dyDescent="0.2">
      <c r="D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</row>
    <row r="474" spans="4:32" ht="12.75" customHeight="1" x14ac:dyDescent="0.2">
      <c r="D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</row>
    <row r="475" spans="4:32" ht="12.75" customHeight="1" x14ac:dyDescent="0.2">
      <c r="D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</row>
    <row r="476" spans="4:32" ht="12.75" customHeight="1" x14ac:dyDescent="0.2">
      <c r="D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</row>
    <row r="477" spans="4:32" ht="12.75" customHeight="1" x14ac:dyDescent="0.2">
      <c r="D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</row>
    <row r="478" spans="4:32" ht="12.75" customHeight="1" x14ac:dyDescent="0.2">
      <c r="D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</row>
    <row r="479" spans="4:32" ht="12.75" customHeight="1" x14ac:dyDescent="0.2">
      <c r="D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</row>
    <row r="480" spans="4:32" ht="12.75" customHeight="1" x14ac:dyDescent="0.2">
      <c r="D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</row>
    <row r="481" spans="4:32" ht="12.75" customHeight="1" x14ac:dyDescent="0.2">
      <c r="D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</row>
    <row r="482" spans="4:32" ht="12.75" customHeight="1" x14ac:dyDescent="0.2">
      <c r="D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</row>
    <row r="483" spans="4:32" ht="12.75" customHeight="1" x14ac:dyDescent="0.2">
      <c r="D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</row>
    <row r="484" spans="4:32" ht="12.75" customHeight="1" x14ac:dyDescent="0.2">
      <c r="D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</row>
    <row r="485" spans="4:32" ht="12.75" customHeight="1" x14ac:dyDescent="0.2">
      <c r="D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</row>
    <row r="486" spans="4:32" ht="12.75" customHeight="1" x14ac:dyDescent="0.2">
      <c r="D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</row>
    <row r="487" spans="4:32" ht="12.75" customHeight="1" x14ac:dyDescent="0.2">
      <c r="D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</row>
    <row r="488" spans="4:32" ht="12.75" customHeight="1" x14ac:dyDescent="0.2">
      <c r="D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</row>
    <row r="489" spans="4:32" ht="12.75" customHeight="1" x14ac:dyDescent="0.2">
      <c r="D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</row>
    <row r="490" spans="4:32" ht="12.75" customHeight="1" x14ac:dyDescent="0.2">
      <c r="D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</row>
    <row r="491" spans="4:32" ht="12.75" customHeight="1" x14ac:dyDescent="0.2">
      <c r="D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</row>
    <row r="492" spans="4:32" ht="12.75" customHeight="1" x14ac:dyDescent="0.2">
      <c r="D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</row>
    <row r="493" spans="4:32" ht="12.75" customHeight="1" x14ac:dyDescent="0.2">
      <c r="D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</row>
    <row r="494" spans="4:32" ht="12.75" customHeight="1" x14ac:dyDescent="0.2">
      <c r="D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</row>
    <row r="495" spans="4:32" ht="12.75" customHeight="1" x14ac:dyDescent="0.2">
      <c r="D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</row>
    <row r="496" spans="4:32" ht="12.75" customHeight="1" x14ac:dyDescent="0.2">
      <c r="D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</row>
    <row r="497" spans="4:32" ht="12.75" customHeight="1" x14ac:dyDescent="0.2">
      <c r="D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</row>
    <row r="498" spans="4:32" ht="12.75" customHeight="1" x14ac:dyDescent="0.2">
      <c r="D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</row>
    <row r="499" spans="4:32" ht="12.75" customHeight="1" x14ac:dyDescent="0.2">
      <c r="D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</row>
    <row r="500" spans="4:32" ht="12.75" customHeight="1" x14ac:dyDescent="0.2">
      <c r="D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</row>
    <row r="501" spans="4:32" ht="12.75" customHeight="1" x14ac:dyDescent="0.2">
      <c r="D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</row>
    <row r="502" spans="4:32" ht="12.75" customHeight="1" x14ac:dyDescent="0.2">
      <c r="D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</row>
    <row r="503" spans="4:32" ht="12.75" customHeight="1" x14ac:dyDescent="0.2">
      <c r="D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</row>
    <row r="504" spans="4:32" ht="12.75" customHeight="1" x14ac:dyDescent="0.2">
      <c r="D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</row>
    <row r="505" spans="4:32" ht="12.75" customHeight="1" x14ac:dyDescent="0.2">
      <c r="D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</row>
    <row r="506" spans="4:32" ht="12.75" customHeight="1" x14ac:dyDescent="0.2">
      <c r="D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</row>
    <row r="507" spans="4:32" ht="12.75" customHeight="1" x14ac:dyDescent="0.2">
      <c r="D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</row>
    <row r="508" spans="4:32" ht="12.75" customHeight="1" x14ac:dyDescent="0.2">
      <c r="D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</row>
    <row r="509" spans="4:32" ht="12.75" customHeight="1" x14ac:dyDescent="0.2">
      <c r="D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</row>
    <row r="510" spans="4:32" ht="12.75" customHeight="1" x14ac:dyDescent="0.2">
      <c r="D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</row>
    <row r="511" spans="4:32" ht="12.75" customHeight="1" x14ac:dyDescent="0.2">
      <c r="D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</row>
    <row r="512" spans="4:32" ht="12.75" customHeight="1" x14ac:dyDescent="0.2">
      <c r="D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</row>
    <row r="513" spans="4:32" ht="12.75" customHeight="1" x14ac:dyDescent="0.2">
      <c r="D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</row>
    <row r="514" spans="4:32" ht="12.75" customHeight="1" x14ac:dyDescent="0.2">
      <c r="D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</row>
    <row r="515" spans="4:32" ht="12.75" customHeight="1" x14ac:dyDescent="0.2">
      <c r="D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</row>
    <row r="516" spans="4:32" ht="12.75" customHeight="1" x14ac:dyDescent="0.2">
      <c r="D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</row>
    <row r="517" spans="4:32" ht="12.75" customHeight="1" x14ac:dyDescent="0.2">
      <c r="D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</row>
    <row r="518" spans="4:32" ht="12.75" customHeight="1" x14ac:dyDescent="0.2">
      <c r="D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</row>
    <row r="519" spans="4:32" ht="12.75" customHeight="1" x14ac:dyDescent="0.2">
      <c r="D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</row>
    <row r="520" spans="4:32" ht="12.75" customHeight="1" x14ac:dyDescent="0.2">
      <c r="D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</row>
    <row r="521" spans="4:32" ht="12.75" customHeight="1" x14ac:dyDescent="0.2">
      <c r="D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</row>
    <row r="522" spans="4:32" ht="12.75" customHeight="1" x14ac:dyDescent="0.2">
      <c r="D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</row>
    <row r="523" spans="4:32" ht="12.75" customHeight="1" x14ac:dyDescent="0.2">
      <c r="D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</row>
    <row r="524" spans="4:32" ht="12.75" customHeight="1" x14ac:dyDescent="0.2">
      <c r="D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</row>
    <row r="525" spans="4:32" ht="12.75" customHeight="1" x14ac:dyDescent="0.2">
      <c r="D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</row>
    <row r="526" spans="4:32" ht="12.75" customHeight="1" x14ac:dyDescent="0.2">
      <c r="D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</row>
    <row r="527" spans="4:32" ht="12.75" customHeight="1" x14ac:dyDescent="0.2">
      <c r="D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</row>
    <row r="528" spans="4:32" ht="12.75" customHeight="1" x14ac:dyDescent="0.2">
      <c r="D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</row>
    <row r="529" spans="4:32" ht="12.75" customHeight="1" x14ac:dyDescent="0.2">
      <c r="D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</row>
    <row r="530" spans="4:32" ht="12.75" customHeight="1" x14ac:dyDescent="0.2">
      <c r="D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</row>
    <row r="531" spans="4:32" ht="12.75" customHeight="1" x14ac:dyDescent="0.2">
      <c r="D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</row>
    <row r="532" spans="4:32" ht="12.75" customHeight="1" x14ac:dyDescent="0.2">
      <c r="D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</row>
    <row r="533" spans="4:32" ht="12.75" customHeight="1" x14ac:dyDescent="0.2">
      <c r="D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</row>
    <row r="534" spans="4:32" ht="12.75" customHeight="1" x14ac:dyDescent="0.2">
      <c r="D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</row>
    <row r="535" spans="4:32" ht="12.75" customHeight="1" x14ac:dyDescent="0.2">
      <c r="D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</row>
    <row r="536" spans="4:32" ht="12.75" customHeight="1" x14ac:dyDescent="0.2">
      <c r="D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</row>
    <row r="537" spans="4:32" ht="12.75" customHeight="1" x14ac:dyDescent="0.2">
      <c r="D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</row>
    <row r="538" spans="4:32" ht="12.75" customHeight="1" x14ac:dyDescent="0.2">
      <c r="D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</row>
    <row r="539" spans="4:32" ht="12.75" customHeight="1" x14ac:dyDescent="0.2">
      <c r="D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</row>
    <row r="540" spans="4:32" ht="12.75" customHeight="1" x14ac:dyDescent="0.2">
      <c r="D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</row>
    <row r="541" spans="4:32" ht="12.75" customHeight="1" x14ac:dyDescent="0.2">
      <c r="D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</row>
    <row r="542" spans="4:32" ht="12.75" customHeight="1" x14ac:dyDescent="0.2">
      <c r="D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</row>
    <row r="543" spans="4:32" ht="12.75" customHeight="1" x14ac:dyDescent="0.2">
      <c r="D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</row>
    <row r="544" spans="4:32" ht="12.75" customHeight="1" x14ac:dyDescent="0.2">
      <c r="D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</row>
    <row r="545" spans="4:32" ht="12.75" customHeight="1" x14ac:dyDescent="0.2">
      <c r="D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</row>
    <row r="546" spans="4:32" ht="12.75" customHeight="1" x14ac:dyDescent="0.2">
      <c r="D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</row>
    <row r="547" spans="4:32" ht="12.75" customHeight="1" x14ac:dyDescent="0.2">
      <c r="D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</row>
    <row r="548" spans="4:32" ht="12.75" customHeight="1" x14ac:dyDescent="0.2">
      <c r="D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</row>
    <row r="549" spans="4:32" ht="12.75" customHeight="1" x14ac:dyDescent="0.2">
      <c r="D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</row>
    <row r="550" spans="4:32" ht="12.75" customHeight="1" x14ac:dyDescent="0.2">
      <c r="D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</row>
    <row r="551" spans="4:32" ht="12.75" customHeight="1" x14ac:dyDescent="0.2">
      <c r="D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</row>
    <row r="552" spans="4:32" ht="12.75" customHeight="1" x14ac:dyDescent="0.2">
      <c r="D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</row>
    <row r="553" spans="4:32" ht="12.75" customHeight="1" x14ac:dyDescent="0.2">
      <c r="D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</row>
    <row r="554" spans="4:32" ht="12.75" customHeight="1" x14ac:dyDescent="0.2">
      <c r="D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</row>
    <row r="555" spans="4:32" ht="12.75" customHeight="1" x14ac:dyDescent="0.2">
      <c r="D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</row>
    <row r="556" spans="4:32" ht="12.75" customHeight="1" x14ac:dyDescent="0.2">
      <c r="D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</row>
    <row r="557" spans="4:32" ht="12.75" customHeight="1" x14ac:dyDescent="0.2">
      <c r="D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</row>
    <row r="558" spans="4:32" ht="12.75" customHeight="1" x14ac:dyDescent="0.2">
      <c r="D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</row>
    <row r="559" spans="4:32" ht="12.75" customHeight="1" x14ac:dyDescent="0.2">
      <c r="D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</row>
    <row r="560" spans="4:32" ht="12.75" customHeight="1" x14ac:dyDescent="0.2">
      <c r="D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</row>
    <row r="561" spans="4:32" ht="12.75" customHeight="1" x14ac:dyDescent="0.2">
      <c r="D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</row>
    <row r="562" spans="4:32" ht="12.75" customHeight="1" x14ac:dyDescent="0.2">
      <c r="D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</row>
    <row r="563" spans="4:32" ht="12.75" customHeight="1" x14ac:dyDescent="0.2">
      <c r="D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</row>
    <row r="564" spans="4:32" ht="12.75" customHeight="1" x14ac:dyDescent="0.2">
      <c r="D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</row>
    <row r="565" spans="4:32" ht="12.75" customHeight="1" x14ac:dyDescent="0.2">
      <c r="D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</row>
    <row r="566" spans="4:32" ht="12.75" customHeight="1" x14ac:dyDescent="0.2">
      <c r="D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</row>
    <row r="567" spans="4:32" ht="12.75" customHeight="1" x14ac:dyDescent="0.2">
      <c r="D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</row>
    <row r="568" spans="4:32" ht="12.75" customHeight="1" x14ac:dyDescent="0.2">
      <c r="D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</row>
    <row r="569" spans="4:32" ht="12.75" customHeight="1" x14ac:dyDescent="0.2">
      <c r="D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</row>
    <row r="570" spans="4:32" ht="12.75" customHeight="1" x14ac:dyDescent="0.2">
      <c r="D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</row>
    <row r="571" spans="4:32" ht="12.75" customHeight="1" x14ac:dyDescent="0.2">
      <c r="D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</row>
    <row r="572" spans="4:32" ht="12.75" customHeight="1" x14ac:dyDescent="0.2">
      <c r="D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</row>
    <row r="573" spans="4:32" ht="12.75" customHeight="1" x14ac:dyDescent="0.2">
      <c r="D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</row>
    <row r="574" spans="4:32" ht="12.75" customHeight="1" x14ac:dyDescent="0.2">
      <c r="D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</row>
    <row r="575" spans="4:32" ht="12.75" customHeight="1" x14ac:dyDescent="0.2">
      <c r="D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</row>
    <row r="576" spans="4:32" ht="12.75" customHeight="1" x14ac:dyDescent="0.2">
      <c r="D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</row>
    <row r="577" spans="4:32" ht="12.75" customHeight="1" x14ac:dyDescent="0.2">
      <c r="D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</row>
    <row r="578" spans="4:32" ht="12.75" customHeight="1" x14ac:dyDescent="0.2">
      <c r="D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</row>
    <row r="579" spans="4:32" ht="12.75" customHeight="1" x14ac:dyDescent="0.2">
      <c r="D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</row>
    <row r="580" spans="4:32" ht="12.75" customHeight="1" x14ac:dyDescent="0.2">
      <c r="D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</row>
    <row r="581" spans="4:32" ht="12.75" customHeight="1" x14ac:dyDescent="0.2">
      <c r="D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</row>
    <row r="582" spans="4:32" ht="12.75" customHeight="1" x14ac:dyDescent="0.2">
      <c r="D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</row>
    <row r="583" spans="4:32" ht="12.75" customHeight="1" x14ac:dyDescent="0.2">
      <c r="D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</row>
    <row r="584" spans="4:32" ht="12.75" customHeight="1" x14ac:dyDescent="0.2">
      <c r="D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</row>
    <row r="585" spans="4:32" ht="12.75" customHeight="1" x14ac:dyDescent="0.2">
      <c r="D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</row>
    <row r="586" spans="4:32" ht="12.75" customHeight="1" x14ac:dyDescent="0.2">
      <c r="D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</row>
    <row r="587" spans="4:32" ht="12.75" customHeight="1" x14ac:dyDescent="0.2">
      <c r="D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</row>
    <row r="588" spans="4:32" ht="12.75" customHeight="1" x14ac:dyDescent="0.2">
      <c r="D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</row>
    <row r="589" spans="4:32" ht="12.75" customHeight="1" x14ac:dyDescent="0.2">
      <c r="D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</row>
    <row r="590" spans="4:32" ht="12.75" customHeight="1" x14ac:dyDescent="0.2">
      <c r="D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</row>
    <row r="591" spans="4:32" ht="12.75" customHeight="1" x14ac:dyDescent="0.2">
      <c r="D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</row>
    <row r="592" spans="4:32" ht="12.75" customHeight="1" x14ac:dyDescent="0.2">
      <c r="D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</row>
    <row r="593" spans="4:32" ht="12.75" customHeight="1" x14ac:dyDescent="0.2">
      <c r="D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</row>
    <row r="594" spans="4:32" ht="12.75" customHeight="1" x14ac:dyDescent="0.2">
      <c r="D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</row>
    <row r="595" spans="4:32" ht="12.75" customHeight="1" x14ac:dyDescent="0.2">
      <c r="D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</row>
    <row r="596" spans="4:32" ht="12.75" customHeight="1" x14ac:dyDescent="0.2">
      <c r="D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</row>
    <row r="597" spans="4:32" ht="12.75" customHeight="1" x14ac:dyDescent="0.2">
      <c r="D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</row>
    <row r="598" spans="4:32" ht="12.75" customHeight="1" x14ac:dyDescent="0.2">
      <c r="D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</row>
    <row r="599" spans="4:32" ht="12.75" customHeight="1" x14ac:dyDescent="0.2">
      <c r="D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</row>
    <row r="600" spans="4:32" ht="12.75" customHeight="1" x14ac:dyDescent="0.2">
      <c r="D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</row>
    <row r="601" spans="4:32" ht="12.75" customHeight="1" x14ac:dyDescent="0.2">
      <c r="D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</row>
    <row r="602" spans="4:32" ht="12.75" customHeight="1" x14ac:dyDescent="0.2">
      <c r="D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</row>
    <row r="603" spans="4:32" ht="12.75" customHeight="1" x14ac:dyDescent="0.2">
      <c r="D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</row>
    <row r="604" spans="4:32" ht="12.75" customHeight="1" x14ac:dyDescent="0.2">
      <c r="D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</row>
    <row r="605" spans="4:32" ht="12.75" customHeight="1" x14ac:dyDescent="0.2">
      <c r="D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</row>
    <row r="606" spans="4:32" ht="12.75" customHeight="1" x14ac:dyDescent="0.2">
      <c r="D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</row>
    <row r="607" spans="4:32" ht="12.75" customHeight="1" x14ac:dyDescent="0.2">
      <c r="D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</row>
    <row r="608" spans="4:32" ht="12.75" customHeight="1" x14ac:dyDescent="0.2">
      <c r="D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</row>
    <row r="609" spans="4:32" ht="12.75" customHeight="1" x14ac:dyDescent="0.2">
      <c r="D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</row>
    <row r="610" spans="4:32" ht="12.75" customHeight="1" x14ac:dyDescent="0.2">
      <c r="D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</row>
    <row r="611" spans="4:32" ht="12.75" customHeight="1" x14ac:dyDescent="0.2">
      <c r="D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</row>
    <row r="612" spans="4:32" ht="12.75" customHeight="1" x14ac:dyDescent="0.2">
      <c r="D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</row>
    <row r="613" spans="4:32" ht="12.75" customHeight="1" x14ac:dyDescent="0.2">
      <c r="D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</row>
    <row r="614" spans="4:32" ht="12.75" customHeight="1" x14ac:dyDescent="0.2">
      <c r="D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</row>
    <row r="615" spans="4:32" ht="12.75" customHeight="1" x14ac:dyDescent="0.2">
      <c r="D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</row>
    <row r="616" spans="4:32" ht="12.75" customHeight="1" x14ac:dyDescent="0.2">
      <c r="D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</row>
    <row r="617" spans="4:32" ht="12.75" customHeight="1" x14ac:dyDescent="0.2">
      <c r="D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</row>
    <row r="618" spans="4:32" ht="12.75" customHeight="1" x14ac:dyDescent="0.2">
      <c r="D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</row>
    <row r="619" spans="4:32" ht="12.75" customHeight="1" x14ac:dyDescent="0.2">
      <c r="D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</row>
    <row r="620" spans="4:32" ht="12.75" customHeight="1" x14ac:dyDescent="0.2">
      <c r="D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</row>
    <row r="621" spans="4:32" ht="12.75" customHeight="1" x14ac:dyDescent="0.2">
      <c r="D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</row>
    <row r="622" spans="4:32" ht="12.75" customHeight="1" x14ac:dyDescent="0.2">
      <c r="D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</row>
    <row r="623" spans="4:32" ht="12.75" customHeight="1" x14ac:dyDescent="0.2">
      <c r="D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</row>
    <row r="624" spans="4:32" ht="12.75" customHeight="1" x14ac:dyDescent="0.2">
      <c r="D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</row>
    <row r="625" spans="4:32" ht="12.75" customHeight="1" x14ac:dyDescent="0.2">
      <c r="D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</row>
    <row r="626" spans="4:32" ht="12.75" customHeight="1" x14ac:dyDescent="0.2">
      <c r="D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</row>
    <row r="627" spans="4:32" ht="12.75" customHeight="1" x14ac:dyDescent="0.2">
      <c r="D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</row>
    <row r="628" spans="4:32" ht="12.75" customHeight="1" x14ac:dyDescent="0.2">
      <c r="D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</row>
    <row r="629" spans="4:32" ht="12.75" customHeight="1" x14ac:dyDescent="0.2">
      <c r="D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</row>
    <row r="630" spans="4:32" ht="12.75" customHeight="1" x14ac:dyDescent="0.2">
      <c r="D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</row>
    <row r="631" spans="4:32" ht="12.75" customHeight="1" x14ac:dyDescent="0.2">
      <c r="D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</row>
    <row r="632" spans="4:32" ht="12.75" customHeight="1" x14ac:dyDescent="0.2">
      <c r="D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</row>
    <row r="633" spans="4:32" ht="12.75" customHeight="1" x14ac:dyDescent="0.2">
      <c r="D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</row>
    <row r="634" spans="4:32" ht="12.75" customHeight="1" x14ac:dyDescent="0.2">
      <c r="D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</row>
    <row r="635" spans="4:32" ht="12.75" customHeight="1" x14ac:dyDescent="0.2">
      <c r="D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</row>
    <row r="636" spans="4:32" ht="12.75" customHeight="1" x14ac:dyDescent="0.2">
      <c r="D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</row>
    <row r="637" spans="4:32" ht="12.75" customHeight="1" x14ac:dyDescent="0.2">
      <c r="D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</row>
    <row r="638" spans="4:32" ht="12.75" customHeight="1" x14ac:dyDescent="0.2">
      <c r="D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</row>
    <row r="639" spans="4:32" ht="12.75" customHeight="1" x14ac:dyDescent="0.2">
      <c r="D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</row>
    <row r="640" spans="4:32" ht="12.75" customHeight="1" x14ac:dyDescent="0.2">
      <c r="D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</row>
    <row r="641" spans="4:32" ht="12.75" customHeight="1" x14ac:dyDescent="0.2">
      <c r="D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</row>
    <row r="642" spans="4:32" ht="12.75" customHeight="1" x14ac:dyDescent="0.2">
      <c r="D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</row>
    <row r="643" spans="4:32" ht="12.75" customHeight="1" x14ac:dyDescent="0.2">
      <c r="D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</row>
    <row r="644" spans="4:32" ht="12.75" customHeight="1" x14ac:dyDescent="0.2">
      <c r="D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</row>
    <row r="645" spans="4:32" ht="12.75" customHeight="1" x14ac:dyDescent="0.2">
      <c r="D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</row>
    <row r="646" spans="4:32" ht="12.75" customHeight="1" x14ac:dyDescent="0.2">
      <c r="D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</row>
    <row r="647" spans="4:32" ht="12.75" customHeight="1" x14ac:dyDescent="0.2">
      <c r="D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</row>
    <row r="648" spans="4:32" ht="12.75" customHeight="1" x14ac:dyDescent="0.2">
      <c r="D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</row>
    <row r="649" spans="4:32" ht="12.75" customHeight="1" x14ac:dyDescent="0.2">
      <c r="D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</row>
    <row r="650" spans="4:32" ht="12.75" customHeight="1" x14ac:dyDescent="0.2">
      <c r="D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</row>
    <row r="651" spans="4:32" ht="12.75" customHeight="1" x14ac:dyDescent="0.2">
      <c r="D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</row>
    <row r="652" spans="4:32" ht="12.75" customHeight="1" x14ac:dyDescent="0.2">
      <c r="D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</row>
    <row r="653" spans="4:32" ht="12.75" customHeight="1" x14ac:dyDescent="0.2">
      <c r="D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</row>
    <row r="654" spans="4:32" ht="12.75" customHeight="1" x14ac:dyDescent="0.2">
      <c r="D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</row>
    <row r="655" spans="4:32" ht="12.75" customHeight="1" x14ac:dyDescent="0.2">
      <c r="D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</row>
    <row r="656" spans="4:32" ht="12.75" customHeight="1" x14ac:dyDescent="0.2">
      <c r="D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</row>
    <row r="657" spans="4:32" ht="12.75" customHeight="1" x14ac:dyDescent="0.2">
      <c r="D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</row>
    <row r="658" spans="4:32" ht="12.75" customHeight="1" x14ac:dyDescent="0.2">
      <c r="D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</row>
    <row r="659" spans="4:32" ht="12.75" customHeight="1" x14ac:dyDescent="0.2">
      <c r="D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</row>
    <row r="660" spans="4:32" ht="12.75" customHeight="1" x14ac:dyDescent="0.2">
      <c r="D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</row>
    <row r="661" spans="4:32" ht="12.75" customHeight="1" x14ac:dyDescent="0.2">
      <c r="D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</row>
    <row r="662" spans="4:32" ht="12.75" customHeight="1" x14ac:dyDescent="0.2">
      <c r="D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</row>
    <row r="663" spans="4:32" ht="12.75" customHeight="1" x14ac:dyDescent="0.2">
      <c r="D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</row>
    <row r="664" spans="4:32" ht="12.75" customHeight="1" x14ac:dyDescent="0.2">
      <c r="D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</row>
    <row r="665" spans="4:32" ht="12.75" customHeight="1" x14ac:dyDescent="0.2">
      <c r="D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</row>
    <row r="666" spans="4:32" ht="12.75" customHeight="1" x14ac:dyDescent="0.2">
      <c r="D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</row>
    <row r="667" spans="4:32" ht="12.75" customHeight="1" x14ac:dyDescent="0.2">
      <c r="D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</row>
    <row r="668" spans="4:32" ht="12.75" customHeight="1" x14ac:dyDescent="0.2">
      <c r="D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</row>
    <row r="669" spans="4:32" ht="12.75" customHeight="1" x14ac:dyDescent="0.2">
      <c r="D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</row>
    <row r="670" spans="4:32" ht="12.75" customHeight="1" x14ac:dyDescent="0.2">
      <c r="D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</row>
    <row r="671" spans="4:32" ht="12.75" customHeight="1" x14ac:dyDescent="0.2">
      <c r="D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</row>
    <row r="672" spans="4:32" ht="12.75" customHeight="1" x14ac:dyDescent="0.2">
      <c r="D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</row>
    <row r="673" spans="4:32" ht="12.75" customHeight="1" x14ac:dyDescent="0.2">
      <c r="D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</row>
    <row r="674" spans="4:32" ht="12.75" customHeight="1" x14ac:dyDescent="0.2">
      <c r="D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</row>
    <row r="675" spans="4:32" ht="12.75" customHeight="1" x14ac:dyDescent="0.2">
      <c r="D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</row>
    <row r="676" spans="4:32" ht="12.75" customHeight="1" x14ac:dyDescent="0.2">
      <c r="D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</row>
    <row r="677" spans="4:32" ht="12.75" customHeight="1" x14ac:dyDescent="0.2">
      <c r="D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</row>
    <row r="678" spans="4:32" ht="12.75" customHeight="1" x14ac:dyDescent="0.2">
      <c r="D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</row>
    <row r="679" spans="4:32" ht="12.75" customHeight="1" x14ac:dyDescent="0.2">
      <c r="D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</row>
    <row r="680" spans="4:32" ht="12.75" customHeight="1" x14ac:dyDescent="0.2">
      <c r="D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</row>
    <row r="681" spans="4:32" ht="12.75" customHeight="1" x14ac:dyDescent="0.2">
      <c r="D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</row>
    <row r="682" spans="4:32" ht="12.75" customHeight="1" x14ac:dyDescent="0.2">
      <c r="D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</row>
    <row r="683" spans="4:32" ht="12.75" customHeight="1" x14ac:dyDescent="0.2">
      <c r="D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</row>
    <row r="684" spans="4:32" ht="12.75" customHeight="1" x14ac:dyDescent="0.2">
      <c r="D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</row>
    <row r="685" spans="4:32" ht="12.75" customHeight="1" x14ac:dyDescent="0.2">
      <c r="D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</row>
    <row r="686" spans="4:32" ht="12.75" customHeight="1" x14ac:dyDescent="0.2">
      <c r="D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</row>
    <row r="687" spans="4:32" ht="12.75" customHeight="1" x14ac:dyDescent="0.2">
      <c r="D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</row>
    <row r="688" spans="4:32" ht="12.75" customHeight="1" x14ac:dyDescent="0.2">
      <c r="D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</row>
    <row r="689" spans="4:32" ht="12.75" customHeight="1" x14ac:dyDescent="0.2">
      <c r="D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</row>
    <row r="690" spans="4:32" ht="12.75" customHeight="1" x14ac:dyDescent="0.2">
      <c r="D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</row>
    <row r="691" spans="4:32" ht="12.75" customHeight="1" x14ac:dyDescent="0.2">
      <c r="D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</row>
    <row r="692" spans="4:32" ht="12.75" customHeight="1" x14ac:dyDescent="0.2">
      <c r="D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</row>
    <row r="693" spans="4:32" ht="12.75" customHeight="1" x14ac:dyDescent="0.2">
      <c r="D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</row>
    <row r="694" spans="4:32" ht="12.75" customHeight="1" x14ac:dyDescent="0.2">
      <c r="D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</row>
    <row r="695" spans="4:32" ht="12.75" customHeight="1" x14ac:dyDescent="0.2">
      <c r="D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</row>
    <row r="696" spans="4:32" ht="12.75" customHeight="1" x14ac:dyDescent="0.2">
      <c r="D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</row>
    <row r="697" spans="4:32" ht="12.75" customHeight="1" x14ac:dyDescent="0.2">
      <c r="D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</row>
    <row r="698" spans="4:32" ht="12.75" customHeight="1" x14ac:dyDescent="0.2">
      <c r="D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</row>
    <row r="699" spans="4:32" ht="12.75" customHeight="1" x14ac:dyDescent="0.2">
      <c r="D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</row>
    <row r="700" spans="4:32" ht="12.75" customHeight="1" x14ac:dyDescent="0.2">
      <c r="D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</row>
    <row r="701" spans="4:32" ht="12.75" customHeight="1" x14ac:dyDescent="0.2">
      <c r="D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</row>
    <row r="702" spans="4:32" ht="12.75" customHeight="1" x14ac:dyDescent="0.2">
      <c r="D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</row>
    <row r="703" spans="4:32" ht="12.75" customHeight="1" x14ac:dyDescent="0.2">
      <c r="D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</row>
    <row r="704" spans="4:32" ht="12.75" customHeight="1" x14ac:dyDescent="0.2">
      <c r="D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</row>
    <row r="705" spans="4:32" ht="12.75" customHeight="1" x14ac:dyDescent="0.2">
      <c r="D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</row>
    <row r="706" spans="4:32" ht="12.75" customHeight="1" x14ac:dyDescent="0.2">
      <c r="D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</row>
    <row r="707" spans="4:32" ht="12.75" customHeight="1" x14ac:dyDescent="0.2">
      <c r="D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</row>
    <row r="708" spans="4:32" ht="12.75" customHeight="1" x14ac:dyDescent="0.2">
      <c r="D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</row>
    <row r="709" spans="4:32" ht="12.75" customHeight="1" x14ac:dyDescent="0.2">
      <c r="D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</row>
    <row r="710" spans="4:32" ht="12.75" customHeight="1" x14ac:dyDescent="0.2">
      <c r="D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</row>
    <row r="711" spans="4:32" ht="12.75" customHeight="1" x14ac:dyDescent="0.2">
      <c r="D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</row>
    <row r="712" spans="4:32" ht="12.75" customHeight="1" x14ac:dyDescent="0.2">
      <c r="D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</row>
    <row r="713" spans="4:32" ht="12.75" customHeight="1" x14ac:dyDescent="0.2">
      <c r="D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</row>
    <row r="714" spans="4:32" ht="12.75" customHeight="1" x14ac:dyDescent="0.2">
      <c r="D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</row>
    <row r="715" spans="4:32" ht="12.75" customHeight="1" x14ac:dyDescent="0.2">
      <c r="D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</row>
    <row r="716" spans="4:32" ht="12.75" customHeight="1" x14ac:dyDescent="0.2">
      <c r="D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</row>
    <row r="717" spans="4:32" ht="12.75" customHeight="1" x14ac:dyDescent="0.2">
      <c r="D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</row>
    <row r="718" spans="4:32" ht="12.75" customHeight="1" x14ac:dyDescent="0.2">
      <c r="D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</row>
    <row r="719" spans="4:32" ht="12.75" customHeight="1" x14ac:dyDescent="0.2">
      <c r="D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</row>
    <row r="720" spans="4:32" ht="12.75" customHeight="1" x14ac:dyDescent="0.2">
      <c r="D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</row>
    <row r="721" spans="4:32" ht="12.75" customHeight="1" x14ac:dyDescent="0.2">
      <c r="D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</row>
    <row r="722" spans="4:32" ht="12.75" customHeight="1" x14ac:dyDescent="0.2">
      <c r="D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</row>
    <row r="723" spans="4:32" ht="12.75" customHeight="1" x14ac:dyDescent="0.2">
      <c r="D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</row>
    <row r="724" spans="4:32" ht="12.75" customHeight="1" x14ac:dyDescent="0.2">
      <c r="D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</row>
    <row r="725" spans="4:32" ht="12.75" customHeight="1" x14ac:dyDescent="0.2">
      <c r="D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</row>
    <row r="726" spans="4:32" ht="12.75" customHeight="1" x14ac:dyDescent="0.2">
      <c r="D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</row>
    <row r="727" spans="4:32" ht="12.75" customHeight="1" x14ac:dyDescent="0.2">
      <c r="D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</row>
    <row r="728" spans="4:32" ht="12.75" customHeight="1" x14ac:dyDescent="0.2">
      <c r="D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</row>
    <row r="729" spans="4:32" ht="12.75" customHeight="1" x14ac:dyDescent="0.2">
      <c r="D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</row>
    <row r="730" spans="4:32" ht="12.75" customHeight="1" x14ac:dyDescent="0.2">
      <c r="D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</row>
    <row r="731" spans="4:32" ht="12.75" customHeight="1" x14ac:dyDescent="0.2">
      <c r="D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</row>
    <row r="732" spans="4:32" ht="12.75" customHeight="1" x14ac:dyDescent="0.2">
      <c r="D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</row>
    <row r="733" spans="4:32" ht="12.75" customHeight="1" x14ac:dyDescent="0.2">
      <c r="D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</row>
    <row r="734" spans="4:32" ht="12.75" customHeight="1" x14ac:dyDescent="0.2">
      <c r="D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</row>
    <row r="735" spans="4:32" ht="12.75" customHeight="1" x14ac:dyDescent="0.2">
      <c r="D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</row>
    <row r="736" spans="4:32" ht="12.75" customHeight="1" x14ac:dyDescent="0.2">
      <c r="D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</row>
    <row r="737" spans="4:32" ht="12.75" customHeight="1" x14ac:dyDescent="0.2">
      <c r="D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</row>
    <row r="738" spans="4:32" ht="12.75" customHeight="1" x14ac:dyDescent="0.2">
      <c r="D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</row>
    <row r="739" spans="4:32" ht="12.75" customHeight="1" x14ac:dyDescent="0.2">
      <c r="D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</row>
    <row r="740" spans="4:32" ht="12.75" customHeight="1" x14ac:dyDescent="0.2">
      <c r="D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</row>
    <row r="741" spans="4:32" ht="12.75" customHeight="1" x14ac:dyDescent="0.2">
      <c r="D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</row>
    <row r="742" spans="4:32" ht="12.75" customHeight="1" x14ac:dyDescent="0.2">
      <c r="D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</row>
    <row r="743" spans="4:32" ht="12.75" customHeight="1" x14ac:dyDescent="0.2">
      <c r="D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</row>
    <row r="744" spans="4:32" ht="12.75" customHeight="1" x14ac:dyDescent="0.2">
      <c r="D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</row>
    <row r="745" spans="4:32" ht="12.75" customHeight="1" x14ac:dyDescent="0.2">
      <c r="D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</row>
    <row r="746" spans="4:32" ht="12.75" customHeight="1" x14ac:dyDescent="0.2">
      <c r="D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</row>
    <row r="747" spans="4:32" ht="12.75" customHeight="1" x14ac:dyDescent="0.2">
      <c r="D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</row>
    <row r="748" spans="4:32" ht="12.75" customHeight="1" x14ac:dyDescent="0.2">
      <c r="D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</row>
    <row r="749" spans="4:32" ht="12.75" customHeight="1" x14ac:dyDescent="0.2">
      <c r="D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</row>
    <row r="750" spans="4:32" ht="12.75" customHeight="1" x14ac:dyDescent="0.2">
      <c r="D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</row>
    <row r="751" spans="4:32" ht="12.75" customHeight="1" x14ac:dyDescent="0.2">
      <c r="D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</row>
    <row r="752" spans="4:32" ht="12.75" customHeight="1" x14ac:dyDescent="0.2">
      <c r="D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</row>
    <row r="753" spans="4:32" ht="12.75" customHeight="1" x14ac:dyDescent="0.2">
      <c r="D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</row>
    <row r="754" spans="4:32" ht="12.75" customHeight="1" x14ac:dyDescent="0.2">
      <c r="D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</row>
    <row r="755" spans="4:32" ht="12.75" customHeight="1" x14ac:dyDescent="0.2">
      <c r="D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</row>
    <row r="756" spans="4:32" ht="12.75" customHeight="1" x14ac:dyDescent="0.2">
      <c r="D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</row>
    <row r="757" spans="4:32" ht="12.75" customHeight="1" x14ac:dyDescent="0.2">
      <c r="D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</row>
    <row r="758" spans="4:32" ht="12.75" customHeight="1" x14ac:dyDescent="0.2">
      <c r="D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</row>
    <row r="759" spans="4:32" ht="12.75" customHeight="1" x14ac:dyDescent="0.2">
      <c r="D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</row>
    <row r="760" spans="4:32" ht="12.75" customHeight="1" x14ac:dyDescent="0.2">
      <c r="D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</row>
    <row r="761" spans="4:32" ht="12.75" customHeight="1" x14ac:dyDescent="0.2">
      <c r="D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</row>
    <row r="762" spans="4:32" ht="12.75" customHeight="1" x14ac:dyDescent="0.2">
      <c r="D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</row>
    <row r="763" spans="4:32" ht="12.75" customHeight="1" x14ac:dyDescent="0.2">
      <c r="D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</row>
    <row r="764" spans="4:32" ht="12.75" customHeight="1" x14ac:dyDescent="0.2">
      <c r="D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</row>
    <row r="765" spans="4:32" ht="12.75" customHeight="1" x14ac:dyDescent="0.2">
      <c r="D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</row>
    <row r="766" spans="4:32" ht="12.75" customHeight="1" x14ac:dyDescent="0.2">
      <c r="D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</row>
    <row r="767" spans="4:32" ht="12.75" customHeight="1" x14ac:dyDescent="0.2">
      <c r="D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</row>
    <row r="768" spans="4:32" ht="12.75" customHeight="1" x14ac:dyDescent="0.2">
      <c r="D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</row>
    <row r="769" spans="4:32" ht="12.75" customHeight="1" x14ac:dyDescent="0.2">
      <c r="D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</row>
    <row r="770" spans="4:32" ht="12.75" customHeight="1" x14ac:dyDescent="0.2">
      <c r="D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</row>
    <row r="771" spans="4:32" ht="12.75" customHeight="1" x14ac:dyDescent="0.2">
      <c r="D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</row>
    <row r="772" spans="4:32" ht="12.75" customHeight="1" x14ac:dyDescent="0.2">
      <c r="D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</row>
    <row r="773" spans="4:32" ht="12.75" customHeight="1" x14ac:dyDescent="0.2">
      <c r="D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</row>
    <row r="774" spans="4:32" ht="12.75" customHeight="1" x14ac:dyDescent="0.2">
      <c r="D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</row>
    <row r="775" spans="4:32" ht="12.75" customHeight="1" x14ac:dyDescent="0.2">
      <c r="D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</row>
    <row r="776" spans="4:32" ht="12.75" customHeight="1" x14ac:dyDescent="0.2">
      <c r="D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</row>
    <row r="777" spans="4:32" ht="12.75" customHeight="1" x14ac:dyDescent="0.2">
      <c r="D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</row>
    <row r="778" spans="4:32" ht="12.75" customHeight="1" x14ac:dyDescent="0.2">
      <c r="D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</row>
    <row r="779" spans="4:32" ht="12.75" customHeight="1" x14ac:dyDescent="0.2">
      <c r="D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</row>
    <row r="780" spans="4:32" ht="12.75" customHeight="1" x14ac:dyDescent="0.2">
      <c r="D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</row>
    <row r="781" spans="4:32" ht="12.75" customHeight="1" x14ac:dyDescent="0.2">
      <c r="D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</row>
    <row r="782" spans="4:32" ht="12.75" customHeight="1" x14ac:dyDescent="0.2">
      <c r="D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</row>
    <row r="783" spans="4:32" ht="12.75" customHeight="1" x14ac:dyDescent="0.2">
      <c r="D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</row>
    <row r="784" spans="4:32" ht="12.75" customHeight="1" x14ac:dyDescent="0.2">
      <c r="D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</row>
    <row r="785" spans="4:32" ht="12.75" customHeight="1" x14ac:dyDescent="0.2">
      <c r="D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</row>
    <row r="786" spans="4:32" ht="12.75" customHeight="1" x14ac:dyDescent="0.2">
      <c r="D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</row>
    <row r="787" spans="4:32" ht="12.75" customHeight="1" x14ac:dyDescent="0.2">
      <c r="D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</row>
    <row r="788" spans="4:32" ht="12.75" customHeight="1" x14ac:dyDescent="0.2">
      <c r="D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</row>
    <row r="789" spans="4:32" ht="12.75" customHeight="1" x14ac:dyDescent="0.2">
      <c r="D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</row>
    <row r="790" spans="4:32" ht="12.75" customHeight="1" x14ac:dyDescent="0.2">
      <c r="D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</row>
    <row r="791" spans="4:32" ht="12.75" customHeight="1" x14ac:dyDescent="0.2">
      <c r="D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</row>
    <row r="792" spans="4:32" ht="12.75" customHeight="1" x14ac:dyDescent="0.2">
      <c r="D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</row>
    <row r="793" spans="4:32" ht="12.75" customHeight="1" x14ac:dyDescent="0.2">
      <c r="D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</row>
    <row r="794" spans="4:32" ht="12.75" customHeight="1" x14ac:dyDescent="0.2">
      <c r="D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</row>
    <row r="795" spans="4:32" ht="12.75" customHeight="1" x14ac:dyDescent="0.2">
      <c r="D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</row>
    <row r="796" spans="4:32" ht="12.75" customHeight="1" x14ac:dyDescent="0.2">
      <c r="D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</row>
    <row r="797" spans="4:32" ht="12.75" customHeight="1" x14ac:dyDescent="0.2">
      <c r="D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</row>
    <row r="798" spans="4:32" ht="12.75" customHeight="1" x14ac:dyDescent="0.2">
      <c r="D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</row>
    <row r="799" spans="4:32" ht="12.75" customHeight="1" x14ac:dyDescent="0.2">
      <c r="D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</row>
    <row r="800" spans="4:32" ht="12.75" customHeight="1" x14ac:dyDescent="0.2">
      <c r="D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</row>
    <row r="801" spans="4:32" ht="12.75" customHeight="1" x14ac:dyDescent="0.2">
      <c r="D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</row>
    <row r="802" spans="4:32" ht="12.75" customHeight="1" x14ac:dyDescent="0.2">
      <c r="D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</row>
    <row r="803" spans="4:32" ht="12.75" customHeight="1" x14ac:dyDescent="0.2">
      <c r="D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</row>
    <row r="804" spans="4:32" ht="12.75" customHeight="1" x14ac:dyDescent="0.2">
      <c r="D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</row>
    <row r="805" spans="4:32" ht="12.75" customHeight="1" x14ac:dyDescent="0.2">
      <c r="D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</row>
    <row r="806" spans="4:32" ht="12.75" customHeight="1" x14ac:dyDescent="0.2">
      <c r="D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</row>
    <row r="807" spans="4:32" ht="12.75" customHeight="1" x14ac:dyDescent="0.2">
      <c r="D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</row>
    <row r="808" spans="4:32" ht="12.75" customHeight="1" x14ac:dyDescent="0.2">
      <c r="D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</row>
    <row r="809" spans="4:32" ht="12.75" customHeight="1" x14ac:dyDescent="0.2">
      <c r="D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</row>
    <row r="810" spans="4:32" ht="12.75" customHeight="1" x14ac:dyDescent="0.2">
      <c r="D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</row>
    <row r="811" spans="4:32" ht="12.75" customHeight="1" x14ac:dyDescent="0.2">
      <c r="D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</row>
    <row r="812" spans="4:32" ht="12.75" customHeight="1" x14ac:dyDescent="0.2">
      <c r="D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</row>
    <row r="813" spans="4:32" ht="12.75" customHeight="1" x14ac:dyDescent="0.2">
      <c r="D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</row>
    <row r="814" spans="4:32" ht="12.75" customHeight="1" x14ac:dyDescent="0.2">
      <c r="D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</row>
    <row r="815" spans="4:32" ht="12.75" customHeight="1" x14ac:dyDescent="0.2">
      <c r="D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</row>
    <row r="816" spans="4:32" ht="12.75" customHeight="1" x14ac:dyDescent="0.2">
      <c r="D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</row>
    <row r="817" spans="4:32" ht="12.75" customHeight="1" x14ac:dyDescent="0.2">
      <c r="D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</row>
    <row r="818" spans="4:32" ht="12.75" customHeight="1" x14ac:dyDescent="0.2">
      <c r="D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</row>
    <row r="819" spans="4:32" ht="12.75" customHeight="1" x14ac:dyDescent="0.2">
      <c r="D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</row>
    <row r="820" spans="4:32" ht="12.75" customHeight="1" x14ac:dyDescent="0.2">
      <c r="D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</row>
    <row r="821" spans="4:32" ht="12.75" customHeight="1" x14ac:dyDescent="0.2">
      <c r="D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</row>
    <row r="822" spans="4:32" ht="12.75" customHeight="1" x14ac:dyDescent="0.2">
      <c r="D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</row>
    <row r="823" spans="4:32" ht="12.75" customHeight="1" x14ac:dyDescent="0.2">
      <c r="D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</row>
    <row r="824" spans="4:32" ht="12.75" customHeight="1" x14ac:dyDescent="0.2">
      <c r="D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</row>
    <row r="825" spans="4:32" ht="12.75" customHeight="1" x14ac:dyDescent="0.2">
      <c r="D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</row>
    <row r="826" spans="4:32" ht="12.75" customHeight="1" x14ac:dyDescent="0.2">
      <c r="D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</row>
    <row r="827" spans="4:32" ht="12.75" customHeight="1" x14ac:dyDescent="0.2">
      <c r="D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</row>
    <row r="828" spans="4:32" ht="12.75" customHeight="1" x14ac:dyDescent="0.2">
      <c r="D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</row>
    <row r="829" spans="4:32" ht="12.75" customHeight="1" x14ac:dyDescent="0.2">
      <c r="D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</row>
    <row r="830" spans="4:32" ht="12.75" customHeight="1" x14ac:dyDescent="0.2">
      <c r="D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</row>
    <row r="831" spans="4:32" ht="12.75" customHeight="1" x14ac:dyDescent="0.2">
      <c r="D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</row>
    <row r="832" spans="4:32" ht="12.75" customHeight="1" x14ac:dyDescent="0.2">
      <c r="D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</row>
    <row r="833" spans="4:32" ht="12.75" customHeight="1" x14ac:dyDescent="0.2">
      <c r="D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</row>
    <row r="834" spans="4:32" ht="12.75" customHeight="1" x14ac:dyDescent="0.2">
      <c r="D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</row>
    <row r="835" spans="4:32" ht="12.75" customHeight="1" x14ac:dyDescent="0.2">
      <c r="D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</row>
    <row r="836" spans="4:32" ht="12.75" customHeight="1" x14ac:dyDescent="0.2">
      <c r="D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</row>
    <row r="837" spans="4:32" ht="12.75" customHeight="1" x14ac:dyDescent="0.2">
      <c r="D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</row>
    <row r="838" spans="4:32" ht="12.75" customHeight="1" x14ac:dyDescent="0.2">
      <c r="D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</row>
    <row r="839" spans="4:32" ht="12.75" customHeight="1" x14ac:dyDescent="0.2">
      <c r="D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</row>
    <row r="840" spans="4:32" ht="12.75" customHeight="1" x14ac:dyDescent="0.2">
      <c r="D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</row>
    <row r="841" spans="4:32" ht="12.75" customHeight="1" x14ac:dyDescent="0.2">
      <c r="D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</row>
    <row r="842" spans="4:32" ht="12.75" customHeight="1" x14ac:dyDescent="0.2">
      <c r="D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</row>
    <row r="843" spans="4:32" ht="12.75" customHeight="1" x14ac:dyDescent="0.2">
      <c r="D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</row>
    <row r="844" spans="4:32" ht="12.75" customHeight="1" x14ac:dyDescent="0.2">
      <c r="D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</row>
    <row r="845" spans="4:32" ht="12.75" customHeight="1" x14ac:dyDescent="0.2">
      <c r="D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</row>
    <row r="846" spans="4:32" ht="12.75" customHeight="1" x14ac:dyDescent="0.2">
      <c r="D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</row>
    <row r="847" spans="4:32" ht="12.75" customHeight="1" x14ac:dyDescent="0.2">
      <c r="D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</row>
    <row r="848" spans="4:32" ht="12.75" customHeight="1" x14ac:dyDescent="0.2">
      <c r="D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</row>
    <row r="849" spans="4:32" ht="12.75" customHeight="1" x14ac:dyDescent="0.2">
      <c r="D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</row>
    <row r="850" spans="4:32" ht="12.75" customHeight="1" x14ac:dyDescent="0.2">
      <c r="D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</row>
    <row r="851" spans="4:32" ht="12.75" customHeight="1" x14ac:dyDescent="0.2">
      <c r="D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</row>
    <row r="852" spans="4:32" ht="12.75" customHeight="1" x14ac:dyDescent="0.2">
      <c r="D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</row>
    <row r="853" spans="4:32" ht="12.75" customHeight="1" x14ac:dyDescent="0.2">
      <c r="D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</row>
    <row r="854" spans="4:32" ht="12.75" customHeight="1" x14ac:dyDescent="0.2">
      <c r="D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</row>
    <row r="855" spans="4:32" ht="12.75" customHeight="1" x14ac:dyDescent="0.2">
      <c r="D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</row>
    <row r="856" spans="4:32" ht="12.75" customHeight="1" x14ac:dyDescent="0.2">
      <c r="D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</row>
    <row r="857" spans="4:32" ht="12.75" customHeight="1" x14ac:dyDescent="0.2">
      <c r="D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</row>
    <row r="858" spans="4:32" ht="12.75" customHeight="1" x14ac:dyDescent="0.2">
      <c r="D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</row>
    <row r="859" spans="4:32" ht="12.75" customHeight="1" x14ac:dyDescent="0.2">
      <c r="D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</row>
    <row r="860" spans="4:32" ht="12.75" customHeight="1" x14ac:dyDescent="0.2">
      <c r="D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</row>
    <row r="861" spans="4:32" ht="12.75" customHeight="1" x14ac:dyDescent="0.2">
      <c r="D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</row>
    <row r="862" spans="4:32" ht="12.75" customHeight="1" x14ac:dyDescent="0.2">
      <c r="D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</row>
    <row r="863" spans="4:32" ht="12.75" customHeight="1" x14ac:dyDescent="0.2">
      <c r="D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</row>
    <row r="864" spans="4:32" ht="12.75" customHeight="1" x14ac:dyDescent="0.2">
      <c r="D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</row>
    <row r="865" spans="4:32" ht="12.75" customHeight="1" x14ac:dyDescent="0.2">
      <c r="D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</row>
    <row r="866" spans="4:32" ht="12.75" customHeight="1" x14ac:dyDescent="0.2">
      <c r="D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</row>
    <row r="867" spans="4:32" ht="12.75" customHeight="1" x14ac:dyDescent="0.2">
      <c r="D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</row>
    <row r="868" spans="4:32" ht="12.75" customHeight="1" x14ac:dyDescent="0.2">
      <c r="D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</row>
    <row r="869" spans="4:32" ht="12.75" customHeight="1" x14ac:dyDescent="0.2">
      <c r="D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</row>
    <row r="870" spans="4:32" ht="12.75" customHeight="1" x14ac:dyDescent="0.2">
      <c r="D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</row>
    <row r="871" spans="4:32" ht="12.75" customHeight="1" x14ac:dyDescent="0.2">
      <c r="D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</row>
    <row r="872" spans="4:32" ht="12.75" customHeight="1" x14ac:dyDescent="0.2">
      <c r="D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</row>
    <row r="873" spans="4:32" ht="12.75" customHeight="1" x14ac:dyDescent="0.2">
      <c r="D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</row>
    <row r="874" spans="4:32" ht="12.75" customHeight="1" x14ac:dyDescent="0.2">
      <c r="D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</row>
    <row r="875" spans="4:32" ht="12.75" customHeight="1" x14ac:dyDescent="0.2">
      <c r="D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</row>
    <row r="876" spans="4:32" ht="12.75" customHeight="1" x14ac:dyDescent="0.2">
      <c r="D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</row>
    <row r="877" spans="4:32" ht="12.75" customHeight="1" x14ac:dyDescent="0.2">
      <c r="D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</row>
    <row r="878" spans="4:32" ht="12.75" customHeight="1" x14ac:dyDescent="0.2">
      <c r="D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</row>
    <row r="879" spans="4:32" ht="12.75" customHeight="1" x14ac:dyDescent="0.2">
      <c r="D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</row>
    <row r="880" spans="4:32" ht="12.75" customHeight="1" x14ac:dyDescent="0.2">
      <c r="D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</row>
    <row r="881" spans="4:32" ht="12.75" customHeight="1" x14ac:dyDescent="0.2">
      <c r="D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</row>
    <row r="882" spans="4:32" ht="12.75" customHeight="1" x14ac:dyDescent="0.2">
      <c r="D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</row>
    <row r="883" spans="4:32" ht="12.75" customHeight="1" x14ac:dyDescent="0.2">
      <c r="D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</row>
    <row r="884" spans="4:32" ht="12.75" customHeight="1" x14ac:dyDescent="0.2">
      <c r="D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</row>
    <row r="885" spans="4:32" ht="12.75" customHeight="1" x14ac:dyDescent="0.2">
      <c r="D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</row>
    <row r="886" spans="4:32" ht="12.75" customHeight="1" x14ac:dyDescent="0.2">
      <c r="D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</row>
    <row r="887" spans="4:32" ht="12.75" customHeight="1" x14ac:dyDescent="0.2">
      <c r="D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</row>
    <row r="888" spans="4:32" ht="12.75" customHeight="1" x14ac:dyDescent="0.2">
      <c r="D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</row>
    <row r="889" spans="4:32" ht="12.75" customHeight="1" x14ac:dyDescent="0.2">
      <c r="D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</row>
    <row r="890" spans="4:32" ht="12.75" customHeight="1" x14ac:dyDescent="0.2">
      <c r="D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</row>
    <row r="891" spans="4:32" ht="12.75" customHeight="1" x14ac:dyDescent="0.2">
      <c r="D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</row>
    <row r="892" spans="4:32" ht="12.75" customHeight="1" x14ac:dyDescent="0.2">
      <c r="D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</row>
    <row r="893" spans="4:32" ht="12.75" customHeight="1" x14ac:dyDescent="0.2">
      <c r="D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</row>
    <row r="894" spans="4:32" ht="12.75" customHeight="1" x14ac:dyDescent="0.2">
      <c r="D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</row>
    <row r="895" spans="4:32" ht="12.75" customHeight="1" x14ac:dyDescent="0.2">
      <c r="D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</row>
    <row r="896" spans="4:32" ht="12.75" customHeight="1" x14ac:dyDescent="0.2">
      <c r="D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</row>
    <row r="897" spans="4:32" ht="12.75" customHeight="1" x14ac:dyDescent="0.2">
      <c r="D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</row>
    <row r="898" spans="4:32" ht="12.75" customHeight="1" x14ac:dyDescent="0.2">
      <c r="D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</row>
    <row r="899" spans="4:32" ht="12.75" customHeight="1" x14ac:dyDescent="0.2">
      <c r="D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</row>
    <row r="900" spans="4:32" ht="12.75" customHeight="1" x14ac:dyDescent="0.2">
      <c r="D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</row>
    <row r="901" spans="4:32" ht="12.75" customHeight="1" x14ac:dyDescent="0.2">
      <c r="D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</row>
    <row r="902" spans="4:32" ht="12.75" customHeight="1" x14ac:dyDescent="0.2">
      <c r="D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</row>
    <row r="903" spans="4:32" ht="12.75" customHeight="1" x14ac:dyDescent="0.2">
      <c r="D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</row>
    <row r="904" spans="4:32" ht="12.75" customHeight="1" x14ac:dyDescent="0.2">
      <c r="D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</row>
    <row r="905" spans="4:32" ht="12.75" customHeight="1" x14ac:dyDescent="0.2">
      <c r="D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</row>
    <row r="906" spans="4:32" ht="12.75" customHeight="1" x14ac:dyDescent="0.2">
      <c r="D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</row>
    <row r="907" spans="4:32" ht="12.75" customHeight="1" x14ac:dyDescent="0.2">
      <c r="D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</row>
    <row r="908" spans="4:32" ht="12.75" customHeight="1" x14ac:dyDescent="0.2">
      <c r="D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</row>
    <row r="909" spans="4:32" ht="12.75" customHeight="1" x14ac:dyDescent="0.2">
      <c r="D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</row>
    <row r="910" spans="4:32" ht="12.75" customHeight="1" x14ac:dyDescent="0.2">
      <c r="D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</row>
    <row r="911" spans="4:32" ht="12.75" customHeight="1" x14ac:dyDescent="0.2">
      <c r="D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</row>
    <row r="912" spans="4:32" ht="12.75" customHeight="1" x14ac:dyDescent="0.2">
      <c r="D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</row>
    <row r="913" spans="4:32" ht="12.75" customHeight="1" x14ac:dyDescent="0.2">
      <c r="D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</row>
    <row r="914" spans="4:32" ht="12.75" customHeight="1" x14ac:dyDescent="0.2">
      <c r="D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</row>
    <row r="915" spans="4:32" ht="12.75" customHeight="1" x14ac:dyDescent="0.2">
      <c r="D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</row>
    <row r="916" spans="4:32" ht="12.75" customHeight="1" x14ac:dyDescent="0.2">
      <c r="D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</row>
    <row r="917" spans="4:32" ht="12.75" customHeight="1" x14ac:dyDescent="0.2">
      <c r="D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</row>
    <row r="918" spans="4:32" ht="12.75" customHeight="1" x14ac:dyDescent="0.2">
      <c r="D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</row>
    <row r="919" spans="4:32" ht="12.75" customHeight="1" x14ac:dyDescent="0.2">
      <c r="D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</row>
    <row r="920" spans="4:32" ht="12.75" customHeight="1" x14ac:dyDescent="0.2">
      <c r="D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</row>
    <row r="921" spans="4:32" ht="12.75" customHeight="1" x14ac:dyDescent="0.2">
      <c r="D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</row>
    <row r="922" spans="4:32" ht="12.75" customHeight="1" x14ac:dyDescent="0.2">
      <c r="D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</row>
    <row r="923" spans="4:32" ht="12.75" customHeight="1" x14ac:dyDescent="0.2">
      <c r="D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</row>
    <row r="924" spans="4:32" ht="12.75" customHeight="1" x14ac:dyDescent="0.2">
      <c r="D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</row>
    <row r="925" spans="4:32" ht="12.75" customHeight="1" x14ac:dyDescent="0.2">
      <c r="D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</row>
    <row r="926" spans="4:32" ht="12.75" customHeight="1" x14ac:dyDescent="0.2">
      <c r="D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</row>
    <row r="927" spans="4:32" ht="12.75" customHeight="1" x14ac:dyDescent="0.2">
      <c r="D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</row>
    <row r="928" spans="4:32" ht="12.75" customHeight="1" x14ac:dyDescent="0.2">
      <c r="D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</row>
    <row r="929" spans="4:32" ht="12.75" customHeight="1" x14ac:dyDescent="0.2">
      <c r="D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</row>
    <row r="930" spans="4:32" ht="12.75" customHeight="1" x14ac:dyDescent="0.2">
      <c r="D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</row>
    <row r="931" spans="4:32" ht="12.75" customHeight="1" x14ac:dyDescent="0.2">
      <c r="D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</row>
    <row r="932" spans="4:32" ht="12.75" customHeight="1" x14ac:dyDescent="0.2">
      <c r="D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</row>
    <row r="933" spans="4:32" ht="12.75" customHeight="1" x14ac:dyDescent="0.2">
      <c r="D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</row>
    <row r="934" spans="4:32" ht="12.75" customHeight="1" x14ac:dyDescent="0.2">
      <c r="D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</row>
    <row r="935" spans="4:32" ht="12.75" customHeight="1" x14ac:dyDescent="0.2">
      <c r="D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</row>
    <row r="936" spans="4:32" ht="12.75" customHeight="1" x14ac:dyDescent="0.2">
      <c r="D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</row>
    <row r="937" spans="4:32" ht="12.75" customHeight="1" x14ac:dyDescent="0.2">
      <c r="D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</row>
    <row r="938" spans="4:32" ht="12.75" customHeight="1" x14ac:dyDescent="0.2">
      <c r="D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</row>
    <row r="939" spans="4:32" ht="12.75" customHeight="1" x14ac:dyDescent="0.2">
      <c r="D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</row>
    <row r="940" spans="4:32" ht="12.75" customHeight="1" x14ac:dyDescent="0.2">
      <c r="D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</row>
    <row r="941" spans="4:32" ht="12.75" customHeight="1" x14ac:dyDescent="0.2">
      <c r="D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</row>
    <row r="942" spans="4:32" ht="12.75" customHeight="1" x14ac:dyDescent="0.2">
      <c r="D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</row>
    <row r="943" spans="4:32" ht="12.75" customHeight="1" x14ac:dyDescent="0.2">
      <c r="D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</row>
    <row r="944" spans="4:32" ht="12.75" customHeight="1" x14ac:dyDescent="0.2">
      <c r="D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</row>
    <row r="945" spans="4:32" ht="12.75" customHeight="1" x14ac:dyDescent="0.2">
      <c r="D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</row>
    <row r="946" spans="4:32" ht="12.75" customHeight="1" x14ac:dyDescent="0.2">
      <c r="D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</row>
    <row r="947" spans="4:32" ht="12.75" customHeight="1" x14ac:dyDescent="0.2">
      <c r="D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</row>
    <row r="948" spans="4:32" ht="12.75" customHeight="1" x14ac:dyDescent="0.2">
      <c r="D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</row>
    <row r="949" spans="4:32" ht="12.75" customHeight="1" x14ac:dyDescent="0.2">
      <c r="D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</row>
    <row r="950" spans="4:32" ht="12.75" customHeight="1" x14ac:dyDescent="0.2">
      <c r="D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</row>
    <row r="951" spans="4:32" ht="12.75" customHeight="1" x14ac:dyDescent="0.2">
      <c r="D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</row>
    <row r="952" spans="4:32" ht="12.75" customHeight="1" x14ac:dyDescent="0.2">
      <c r="D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</row>
    <row r="953" spans="4:32" ht="12.75" customHeight="1" x14ac:dyDescent="0.2">
      <c r="D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</row>
    <row r="954" spans="4:32" ht="12.75" customHeight="1" x14ac:dyDescent="0.2">
      <c r="D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</row>
    <row r="955" spans="4:32" ht="12.75" customHeight="1" x14ac:dyDescent="0.2">
      <c r="D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</row>
    <row r="956" spans="4:32" ht="12.75" customHeight="1" x14ac:dyDescent="0.2">
      <c r="D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</row>
    <row r="957" spans="4:32" ht="12.75" customHeight="1" x14ac:dyDescent="0.2">
      <c r="D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</row>
    <row r="958" spans="4:32" ht="12.75" customHeight="1" x14ac:dyDescent="0.2">
      <c r="D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</row>
    <row r="959" spans="4:32" ht="12.75" customHeight="1" x14ac:dyDescent="0.2">
      <c r="D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</row>
    <row r="960" spans="4:32" ht="12.75" customHeight="1" x14ac:dyDescent="0.2">
      <c r="D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</row>
    <row r="961" spans="4:32" ht="12.75" customHeight="1" x14ac:dyDescent="0.2">
      <c r="D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</row>
    <row r="962" spans="4:32" ht="12.75" customHeight="1" x14ac:dyDescent="0.2">
      <c r="D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</row>
    <row r="963" spans="4:32" ht="12.75" customHeight="1" x14ac:dyDescent="0.2">
      <c r="D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</row>
    <row r="964" spans="4:32" ht="12.75" customHeight="1" x14ac:dyDescent="0.2">
      <c r="D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</row>
    <row r="965" spans="4:32" ht="12.75" customHeight="1" x14ac:dyDescent="0.2">
      <c r="D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</row>
    <row r="966" spans="4:32" ht="12.75" customHeight="1" x14ac:dyDescent="0.2">
      <c r="D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</row>
    <row r="967" spans="4:32" ht="12.75" customHeight="1" x14ac:dyDescent="0.2">
      <c r="D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</row>
    <row r="968" spans="4:32" ht="12.75" customHeight="1" x14ac:dyDescent="0.2">
      <c r="D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</row>
    <row r="969" spans="4:32" ht="12.75" customHeight="1" x14ac:dyDescent="0.2">
      <c r="D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</row>
    <row r="970" spans="4:32" ht="12.75" customHeight="1" x14ac:dyDescent="0.2">
      <c r="D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</row>
    <row r="971" spans="4:32" ht="12.75" customHeight="1" x14ac:dyDescent="0.2">
      <c r="D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</row>
    <row r="972" spans="4:32" ht="12.75" customHeight="1" x14ac:dyDescent="0.2">
      <c r="D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</row>
    <row r="973" spans="4:32" ht="12.75" customHeight="1" x14ac:dyDescent="0.2">
      <c r="D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</row>
    <row r="974" spans="4:32" ht="12.75" customHeight="1" x14ac:dyDescent="0.2">
      <c r="D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</row>
    <row r="975" spans="4:32" ht="12.75" customHeight="1" x14ac:dyDescent="0.2">
      <c r="D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</row>
    <row r="976" spans="4:32" ht="12.75" customHeight="1" x14ac:dyDescent="0.2">
      <c r="D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</row>
    <row r="977" spans="4:32" ht="12.75" customHeight="1" x14ac:dyDescent="0.2">
      <c r="D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</row>
    <row r="978" spans="4:32" ht="12.75" customHeight="1" x14ac:dyDescent="0.2">
      <c r="D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</row>
    <row r="979" spans="4:32" ht="12.75" customHeight="1" x14ac:dyDescent="0.2">
      <c r="D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</row>
    <row r="980" spans="4:32" ht="12.75" customHeight="1" x14ac:dyDescent="0.2">
      <c r="D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</row>
    <row r="981" spans="4:32" ht="12.75" customHeight="1" x14ac:dyDescent="0.2">
      <c r="D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</row>
    <row r="982" spans="4:32" ht="12.75" customHeight="1" x14ac:dyDescent="0.2">
      <c r="D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</row>
    <row r="983" spans="4:32" ht="12.75" customHeight="1" x14ac:dyDescent="0.2">
      <c r="D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</row>
    <row r="984" spans="4:32" ht="12.75" customHeight="1" x14ac:dyDescent="0.2">
      <c r="D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</row>
    <row r="985" spans="4:32" ht="12.75" customHeight="1" x14ac:dyDescent="0.2">
      <c r="D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</row>
    <row r="986" spans="4:32" ht="12.75" customHeight="1" x14ac:dyDescent="0.2">
      <c r="D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</row>
    <row r="987" spans="4:32" ht="12.75" customHeight="1" x14ac:dyDescent="0.2">
      <c r="D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</row>
    <row r="988" spans="4:32" ht="12.75" customHeight="1" x14ac:dyDescent="0.2">
      <c r="D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</row>
    <row r="989" spans="4:32" ht="12.75" customHeight="1" x14ac:dyDescent="0.2">
      <c r="D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</row>
    <row r="990" spans="4:32" ht="12.75" customHeight="1" x14ac:dyDescent="0.2">
      <c r="D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</row>
    <row r="991" spans="4:32" ht="12.75" customHeight="1" x14ac:dyDescent="0.2">
      <c r="D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</row>
    <row r="992" spans="4:32" ht="12.75" customHeight="1" x14ac:dyDescent="0.2">
      <c r="D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</row>
    <row r="993" spans="4:32" ht="12.75" customHeight="1" x14ac:dyDescent="0.2">
      <c r="D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</row>
    <row r="994" spans="4:32" ht="12.75" customHeight="1" x14ac:dyDescent="0.2">
      <c r="D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</row>
    <row r="995" spans="4:32" ht="12.75" customHeight="1" x14ac:dyDescent="0.2">
      <c r="D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</row>
    <row r="996" spans="4:32" ht="12.75" customHeight="1" x14ac:dyDescent="0.2">
      <c r="D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</row>
    <row r="997" spans="4:32" ht="12.75" customHeight="1" x14ac:dyDescent="0.2">
      <c r="D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</row>
    <row r="998" spans="4:32" ht="12.75" customHeight="1" x14ac:dyDescent="0.2">
      <c r="D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</row>
    <row r="999" spans="4:32" ht="12.75" customHeight="1" x14ac:dyDescent="0.2">
      <c r="D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</row>
    <row r="1000" spans="4:32" ht="12.75" customHeight="1" x14ac:dyDescent="0.2">
      <c r="D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</row>
  </sheetData>
  <mergeCells count="3">
    <mergeCell ref="D3:H3"/>
    <mergeCell ref="D4:H4"/>
    <mergeCell ref="D5:H5"/>
  </mergeCells>
  <conditionalFormatting sqref="B22:AF65">
    <cfRule type="expression" dxfId="3" priority="3" stopIfTrue="1">
      <formula>$F22="Terminado"</formula>
    </cfRule>
    <cfRule type="expression" dxfId="2" priority="4" stopIfTrue="1">
      <formula>$F22="En Progreso"</formula>
    </cfRule>
  </conditionalFormatting>
  <conditionalFormatting sqref="L22:AF25 C26:AF65">
    <cfRule type="expression" dxfId="1" priority="1" stopIfTrue="1">
      <formula>$F22="Done"</formula>
    </cfRule>
    <cfRule type="expression" dxfId="0" priority="2" stopIfTrue="1">
      <formula>$F22="Ongoing"</formula>
    </cfRule>
  </conditionalFormatting>
  <dataValidations count="1">
    <dataValidation type="list" allowBlank="1" sqref="F10:F15 F22:F71" xr:uid="{00000000-0002-0000-0200-000000000000}">
      <formula1>"Por Hacer,En Progreso,Terminado"</formula1>
    </dataValidation>
  </dataValidations>
  <pageMargins left="0.75" right="0.75" top="1" bottom="1" header="0" footer="0"/>
  <pageSetup paperSize="9" orientation="portrait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24</vt:i4>
      </vt:variant>
    </vt:vector>
  </HeadingPairs>
  <TitlesOfParts>
    <vt:vector size="27" baseType="lpstr">
      <vt:lpstr>Sprint 1</vt:lpstr>
      <vt:lpstr>Sprint 2</vt:lpstr>
      <vt:lpstr>Plantilla Sprint</vt:lpstr>
      <vt:lpstr>'Plantilla Sprint'!DoneDays</vt:lpstr>
      <vt:lpstr>'Sprint 1'!DoneDays</vt:lpstr>
      <vt:lpstr>'Sprint 2'!DoneDays</vt:lpstr>
      <vt:lpstr>'Plantilla Sprint'!ImplementationDays</vt:lpstr>
      <vt:lpstr>'Sprint 1'!ImplementationDays</vt:lpstr>
      <vt:lpstr>'Sprint 2'!ImplementationDays</vt:lpstr>
      <vt:lpstr>'Plantilla Sprint'!SprintTasks</vt:lpstr>
      <vt:lpstr>'Sprint 1'!SprintTasks</vt:lpstr>
      <vt:lpstr>'Sprint 2'!SprintTasks</vt:lpstr>
      <vt:lpstr>'Plantilla Sprint'!TaskRows</vt:lpstr>
      <vt:lpstr>'Sprint 1'!TaskRows</vt:lpstr>
      <vt:lpstr>'Sprint 2'!TaskRows</vt:lpstr>
      <vt:lpstr>'Plantilla Sprint'!TaskStatus</vt:lpstr>
      <vt:lpstr>'Sprint 1'!TaskStatus</vt:lpstr>
      <vt:lpstr>'Sprint 2'!TaskStatus</vt:lpstr>
      <vt:lpstr>'Plantilla Sprint'!TaskStoryID</vt:lpstr>
      <vt:lpstr>'Sprint 1'!TaskStoryID</vt:lpstr>
      <vt:lpstr>'Sprint 2'!TaskStoryID</vt:lpstr>
      <vt:lpstr>'Plantilla Sprint'!TotalEffort</vt:lpstr>
      <vt:lpstr>'Sprint 1'!TotalEffort</vt:lpstr>
      <vt:lpstr>'Sprint 2'!TotalEffort</vt:lpstr>
      <vt:lpstr>'Plantilla Sprint'!TrendDays</vt:lpstr>
      <vt:lpstr>'Sprint 1'!TrendDays</vt:lpstr>
      <vt:lpstr>'Sprint 2'!TrendDays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&lt; Your name &gt;</dc:creator>
  <cp:lastModifiedBy>Jhann Pier Tapia De la cruz</cp:lastModifiedBy>
  <dcterms:created xsi:type="dcterms:W3CDTF">1998-06-05T11:20:44Z</dcterms:created>
  <dcterms:modified xsi:type="dcterms:W3CDTF">2026-04-27T00:58:10Z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  <property fmtid="{D5CDD505-2E9C-101B-9397-08002B2CF9AE}" pid="3" name="_dlc_DocId">
    <vt:lpwstr>FWJASSSE55TN-275-110</vt:lpwstr>
  </property>
  <property fmtid="{D5CDD505-2E9C-101B-9397-08002B2CF9AE}" pid="4" name="_dlc_DocIdItemGuid">
    <vt:lpwstr>26871ea7-f764-4995-b5ea-d05096b306c2</vt:lpwstr>
  </property>
  <property fmtid="{D5CDD505-2E9C-101B-9397-08002B2CF9AE}" pid="5" name="_dlc_DocIdUrl">
    <vt:lpwstr>https://portal.smrey.net/areas/it/_layouts/15/DocIdRedir.aspx?ID=FWJASSSE55TN-275-110, FWJASSSE55TN-275-110</vt:lpwstr>
  </property>
</Properties>
</file>