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Periodo Final 2026-10\Taller de Proyectos 2\semana 1\Planner\Taller_Proyectos_2\docs\Planificación\"/>
    </mc:Choice>
  </mc:AlternateContent>
  <xr:revisionPtr revIDLastSave="0" documentId="13_ncr:1_{E96C36EF-3BCB-40DC-8DA7-B0741959E65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print 1" sheetId="1" r:id="rId1"/>
    <sheet name="Sprint 2" sheetId="2" r:id="rId2"/>
    <sheet name="Plantilla Sprint" sheetId="3" r:id="rId3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 localSheetId="2">'Plantilla Sprint'!$F$18</definedName>
    <definedName name="DoneDays" localSheetId="0">'Sprint 1'!$F$18</definedName>
    <definedName name="DoneDays" localSheetId="1">'Sprint 2'!$F$18</definedName>
    <definedName name="DoneDays">#REF!</definedName>
    <definedName name="ImplementationDays" localSheetId="2">'Plantilla Sprint'!$D$16</definedName>
    <definedName name="ImplementationDays" localSheetId="0">'Sprint 1'!$D$16</definedName>
    <definedName name="ImplementationDays" localSheetId="1">'Sprint 2'!$D$16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#REF!</definedName>
    <definedName name="RealizedSpeed">OFFSET(#REF!,1,0,#REF!,1)</definedName>
    <definedName name="RealValues" localSheetId="2">OFFSET('Plantilla Sprint'!$H$17,0,0,1,[0]!DoneDays)</definedName>
    <definedName name="RealValues" localSheetId="0">OFFSET('Sprint 1'!$H$17,0,0,1,[0]!DoneDays)</definedName>
    <definedName name="RealValues" localSheetId="1">OFFSET('Sprint 2'!$H$17,0,0,1,'Sprint 2'!DoneDays)</definedName>
    <definedName name="Sprint">#REF!</definedName>
    <definedName name="SprintCount">#REF!</definedName>
    <definedName name="SprintsInTrend">#REF!</definedName>
    <definedName name="SprintTasks" localSheetId="2">'Plantilla Sprint'!$C$21:$AF$70</definedName>
    <definedName name="SprintTasks" localSheetId="0">'Sprint 1'!$C$21:$AF$70</definedName>
    <definedName name="SprintTasks" localSheetId="1">'Sprint 2'!$C$21:$AF$70</definedName>
    <definedName name="SprintTasks">#REF!</definedName>
    <definedName name="Status">#REF!</definedName>
    <definedName name="StoryName">#REF!</definedName>
    <definedName name="TaskRows" localSheetId="2">'Plantilla Sprint'!$D$18</definedName>
    <definedName name="TaskRows" localSheetId="0">'Sprint 1'!$D$18</definedName>
    <definedName name="TaskRows" localSheetId="1">'Sprint 2'!$D$18</definedName>
    <definedName name="TaskRows">#REF!</definedName>
    <definedName name="TaskStatus" localSheetId="2">'Plantilla Sprint'!$F$21:$F$65</definedName>
    <definedName name="TaskStatus" localSheetId="0">'Sprint 1'!$F$21:$F$65</definedName>
    <definedName name="TaskStatus" localSheetId="1">'Sprint 2'!$F$21:$F$65</definedName>
    <definedName name="TaskStatus">#REF!</definedName>
    <definedName name="TaskStoryID" localSheetId="2">'Plantilla Sprint'!$D$21:$D$60</definedName>
    <definedName name="TaskStoryID" localSheetId="0">'Sprint 1'!$D$21:$D$60</definedName>
    <definedName name="TaskStoryID" localSheetId="1">'Sprint 2'!$D$21:$D$60</definedName>
    <definedName name="TaskStoryID">#REF!</definedName>
    <definedName name="TotalEffort" localSheetId="2">'Plantilla Sprint'!$G$17</definedName>
    <definedName name="TotalEffort" localSheetId="0">'Sprint 1'!$G$17</definedName>
    <definedName name="TotalEffort" localSheetId="1">'Sprint 2'!$G$17</definedName>
    <definedName name="TotalEffort">#REF!</definedName>
    <definedName name="TrendDays" localSheetId="2">'Plantilla Sprint'!$F$20</definedName>
    <definedName name="TrendDays" localSheetId="0">'Sprint 1'!$F$20</definedName>
    <definedName name="TrendDays" localSheetId="1">'Sprint 2'!$F$20</definedName>
    <definedName name="TrendDays">#REF!</definedName>
    <definedName name="TrendOffset">#REF!</definedName>
    <definedName name="TrendSprintCount">#REF!</definedName>
  </definedNames>
  <calcPr calcId="191029"/>
  <extLst>
    <ext uri="GoogleSheetsCustomDataVersion2">
      <go:sheetsCustomData xmlns:go="http://customooxmlschemas.google.com/" r:id="rId7" roundtripDataChecksum="HHOBz0rsvCObczqlO+Cxln6exkhCyGcbbMP0Ba/RVG4="/>
    </ext>
  </extLst>
</workbook>
</file>

<file path=xl/calcChain.xml><?xml version="1.0" encoding="utf-8"?>
<calcChain xmlns="http://schemas.openxmlformats.org/spreadsheetml/2006/main">
  <c r="F71" i="3" l="1"/>
  <c r="H66" i="3"/>
  <c r="H65" i="3"/>
  <c r="H64" i="3"/>
  <c r="J63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K21" i="3"/>
  <c r="J21" i="3"/>
  <c r="J62" i="3" s="1"/>
  <c r="I21" i="3"/>
  <c r="I63" i="3" s="1"/>
  <c r="J18" i="3"/>
  <c r="I18" i="3"/>
  <c r="D18" i="3"/>
  <c r="AC17" i="3" s="1"/>
  <c r="AD17" i="3"/>
  <c r="Y17" i="3"/>
  <c r="V17" i="3"/>
  <c r="U17" i="3"/>
  <c r="S17" i="3"/>
  <c r="R17" i="3"/>
  <c r="Q17" i="3"/>
  <c r="M17" i="3"/>
  <c r="J17" i="3"/>
  <c r="I17" i="3"/>
  <c r="G17" i="3"/>
  <c r="H18" i="3" s="1"/>
  <c r="F71" i="2"/>
  <c r="H66" i="2"/>
  <c r="H65" i="2"/>
  <c r="H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H24" i="2"/>
  <c r="H23" i="2"/>
  <c r="H22" i="2"/>
  <c r="I21" i="2"/>
  <c r="D18" i="2"/>
  <c r="AB17" i="2"/>
  <c r="AA17" i="2"/>
  <c r="Z17" i="2"/>
  <c r="V17" i="2"/>
  <c r="O17" i="2"/>
  <c r="N17" i="2"/>
  <c r="H17" i="2"/>
  <c r="G17" i="2"/>
  <c r="H18" i="2" s="1"/>
  <c r="F71" i="1"/>
  <c r="H66" i="1"/>
  <c r="H65" i="1"/>
  <c r="H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I21" i="1"/>
  <c r="I62" i="1" s="1"/>
  <c r="D18" i="1"/>
  <c r="AC17" i="1" s="1"/>
  <c r="Y17" i="1"/>
  <c r="Q17" i="1"/>
  <c r="P17" i="1"/>
  <c r="O17" i="1"/>
  <c r="N17" i="1"/>
  <c r="J21" i="1" l="1"/>
  <c r="J62" i="1" s="1"/>
  <c r="U17" i="1"/>
  <c r="I17" i="2"/>
  <c r="I18" i="2"/>
  <c r="I63" i="2"/>
  <c r="I62" i="2"/>
  <c r="J21" i="2"/>
  <c r="V17" i="1"/>
  <c r="J17" i="2"/>
  <c r="W17" i="1"/>
  <c r="I63" i="1"/>
  <c r="Y17" i="2"/>
  <c r="M17" i="2"/>
  <c r="X17" i="2"/>
  <c r="L17" i="2"/>
  <c r="W17" i="2"/>
  <c r="K17" i="2"/>
  <c r="AD17" i="2"/>
  <c r="R17" i="2"/>
  <c r="AC17" i="2"/>
  <c r="Q17" i="2"/>
  <c r="I17" i="1"/>
  <c r="Z17" i="1"/>
  <c r="P17" i="2"/>
  <c r="J63" i="1"/>
  <c r="K21" i="1"/>
  <c r="J17" i="1"/>
  <c r="AA17" i="1"/>
  <c r="S17" i="2"/>
  <c r="K17" i="1"/>
  <c r="AB17" i="1"/>
  <c r="T17" i="2"/>
  <c r="M17" i="1"/>
  <c r="U17" i="2"/>
  <c r="T17" i="1"/>
  <c r="H17" i="1"/>
  <c r="G17" i="1"/>
  <c r="S17" i="1"/>
  <c r="AD17" i="1"/>
  <c r="R17" i="1"/>
  <c r="X17" i="1"/>
  <c r="L17" i="1"/>
  <c r="L21" i="3"/>
  <c r="K63" i="3"/>
  <c r="K18" i="3"/>
  <c r="K62" i="3"/>
  <c r="H17" i="3"/>
  <c r="T17" i="3"/>
  <c r="I62" i="3"/>
  <c r="K17" i="3"/>
  <c r="W17" i="3"/>
  <c r="L17" i="3"/>
  <c r="X17" i="3"/>
  <c r="N17" i="3"/>
  <c r="Z17" i="3"/>
  <c r="O17" i="3"/>
  <c r="AA17" i="3"/>
  <c r="P17" i="3"/>
  <c r="AB17" i="3"/>
  <c r="J18" i="2" l="1"/>
  <c r="J63" i="2"/>
  <c r="K21" i="2"/>
  <c r="J62" i="2"/>
  <c r="J18" i="1"/>
  <c r="H18" i="1"/>
  <c r="L63" i="3"/>
  <c r="L18" i="3"/>
  <c r="L62" i="3"/>
  <c r="M21" i="3"/>
  <c r="K63" i="1"/>
  <c r="L21" i="1"/>
  <c r="K62" i="1"/>
  <c r="K18" i="1"/>
  <c r="I18" i="1"/>
  <c r="M63" i="3" l="1"/>
  <c r="M18" i="3"/>
  <c r="M62" i="3"/>
  <c r="N21" i="3"/>
  <c r="M21" i="1"/>
  <c r="L62" i="1"/>
  <c r="L63" i="1"/>
  <c r="L18" i="1"/>
  <c r="K62" i="2"/>
  <c r="K18" i="2"/>
  <c r="L21" i="2"/>
  <c r="K63" i="2"/>
  <c r="L63" i="2" l="1"/>
  <c r="L62" i="2"/>
  <c r="L18" i="2"/>
  <c r="M21" i="2"/>
  <c r="M62" i="1"/>
  <c r="M63" i="1"/>
  <c r="N21" i="1"/>
  <c r="M18" i="1"/>
  <c r="N63" i="3"/>
  <c r="N18" i="3"/>
  <c r="N62" i="3"/>
  <c r="O21" i="3"/>
  <c r="O62" i="3" l="1"/>
  <c r="P21" i="3"/>
  <c r="O63" i="3"/>
  <c r="O18" i="3"/>
  <c r="O21" i="1"/>
  <c r="N63" i="1"/>
  <c r="N18" i="1"/>
  <c r="N62" i="1"/>
  <c r="M63" i="2"/>
  <c r="M18" i="2"/>
  <c r="N21" i="2"/>
  <c r="M62" i="2"/>
  <c r="O18" i="1" l="1"/>
  <c r="O63" i="1"/>
  <c r="P21" i="1"/>
  <c r="O62" i="1"/>
  <c r="N63" i="2"/>
  <c r="N62" i="2"/>
  <c r="N18" i="2"/>
  <c r="O21" i="2"/>
  <c r="P63" i="3"/>
  <c r="P18" i="3"/>
  <c r="P62" i="3"/>
  <c r="Q21" i="3"/>
  <c r="R21" i="3" l="1"/>
  <c r="Q63" i="3"/>
  <c r="Q18" i="3"/>
  <c r="Q62" i="3"/>
  <c r="O63" i="2"/>
  <c r="O62" i="2"/>
  <c r="P21" i="2"/>
  <c r="O18" i="2"/>
  <c r="P18" i="1"/>
  <c r="P63" i="1"/>
  <c r="Q21" i="1"/>
  <c r="P62" i="1"/>
  <c r="Q18" i="1" l="1"/>
  <c r="Q62" i="1"/>
  <c r="R21" i="1"/>
  <c r="Q63" i="1"/>
  <c r="P62" i="2"/>
  <c r="Q21" i="2"/>
  <c r="P18" i="2"/>
  <c r="P63" i="2"/>
  <c r="R62" i="3"/>
  <c r="S21" i="3"/>
  <c r="R63" i="3"/>
  <c r="R18" i="3"/>
  <c r="Q63" i="2" l="1"/>
  <c r="Q62" i="2"/>
  <c r="R21" i="2"/>
  <c r="Q18" i="2"/>
  <c r="T21" i="3"/>
  <c r="S63" i="3"/>
  <c r="S18" i="3"/>
  <c r="S62" i="3"/>
  <c r="R62" i="1"/>
  <c r="S21" i="1"/>
  <c r="R63" i="1"/>
  <c r="R18" i="1"/>
  <c r="S63" i="1" l="1"/>
  <c r="T21" i="1"/>
  <c r="S18" i="1"/>
  <c r="S62" i="1"/>
  <c r="R63" i="2"/>
  <c r="S21" i="2"/>
  <c r="R62" i="2"/>
  <c r="R18" i="2"/>
  <c r="U21" i="3"/>
  <c r="T63" i="3"/>
  <c r="T18" i="3"/>
  <c r="T62" i="3"/>
  <c r="S62" i="2" l="1"/>
  <c r="S63" i="2"/>
  <c r="T21" i="2"/>
  <c r="S18" i="2"/>
  <c r="V21" i="3"/>
  <c r="U63" i="3"/>
  <c r="U18" i="3"/>
  <c r="U62" i="3"/>
  <c r="T63" i="1"/>
  <c r="T18" i="1"/>
  <c r="T62" i="1"/>
  <c r="U21" i="1"/>
  <c r="U63" i="1" l="1"/>
  <c r="U18" i="1"/>
  <c r="U62" i="1"/>
  <c r="V21" i="1"/>
  <c r="T18" i="2"/>
  <c r="T62" i="2"/>
  <c r="U21" i="2"/>
  <c r="T63" i="2"/>
  <c r="V63" i="3"/>
  <c r="V62" i="3"/>
  <c r="V18" i="3"/>
  <c r="W21" i="3"/>
  <c r="X21" i="3" l="1"/>
  <c r="W63" i="3"/>
  <c r="W18" i="3"/>
  <c r="W62" i="3"/>
  <c r="U18" i="2"/>
  <c r="U63" i="2"/>
  <c r="U62" i="2"/>
  <c r="V21" i="2"/>
  <c r="V63" i="1"/>
  <c r="W21" i="1"/>
  <c r="V18" i="1"/>
  <c r="V62" i="1"/>
  <c r="W63" i="1" l="1"/>
  <c r="X21" i="1"/>
  <c r="W62" i="1"/>
  <c r="W18" i="1"/>
  <c r="V18" i="2"/>
  <c r="V63" i="2"/>
  <c r="W21" i="2"/>
  <c r="V62" i="2"/>
  <c r="X63" i="3"/>
  <c r="X18" i="3"/>
  <c r="X62" i="3"/>
  <c r="Y21" i="3"/>
  <c r="Y63" i="3" l="1"/>
  <c r="Y18" i="3"/>
  <c r="Y62" i="3"/>
  <c r="Z21" i="3"/>
  <c r="W62" i="2"/>
  <c r="X21" i="2"/>
  <c r="W18" i="2"/>
  <c r="W63" i="2"/>
  <c r="Y21" i="1"/>
  <c r="X62" i="1"/>
  <c r="X63" i="1"/>
  <c r="X18" i="1"/>
  <c r="Y62" i="1" l="1"/>
  <c r="Z21" i="1"/>
  <c r="Y63" i="1"/>
  <c r="Y18" i="1"/>
  <c r="X63" i="2"/>
  <c r="X62" i="2"/>
  <c r="Y21" i="2"/>
  <c r="X18" i="2"/>
  <c r="Z63" i="3"/>
  <c r="Z18" i="3"/>
  <c r="Z62" i="3"/>
  <c r="AA21" i="3"/>
  <c r="AA62" i="3" l="1"/>
  <c r="AB21" i="3"/>
  <c r="AA63" i="3"/>
  <c r="AA18" i="3"/>
  <c r="Z62" i="1"/>
  <c r="Z18" i="1"/>
  <c r="Z63" i="1"/>
  <c r="AA21" i="1"/>
  <c r="Y63" i="2"/>
  <c r="Y62" i="2"/>
  <c r="Y18" i="2"/>
  <c r="Z21" i="2"/>
  <c r="Z63" i="2" l="1"/>
  <c r="Z62" i="2"/>
  <c r="Z18" i="2"/>
  <c r="AA21" i="2"/>
  <c r="AA18" i="1"/>
  <c r="AA63" i="1"/>
  <c r="AA62" i="1"/>
  <c r="AB21" i="1"/>
  <c r="AB63" i="3"/>
  <c r="AB18" i="3"/>
  <c r="AB62" i="3"/>
  <c r="AC21" i="3"/>
  <c r="AB18" i="1" l="1"/>
  <c r="AB63" i="1"/>
  <c r="AC21" i="1"/>
  <c r="AB62" i="1"/>
  <c r="AD21" i="3"/>
  <c r="AC63" i="3"/>
  <c r="AC18" i="3"/>
  <c r="AC62" i="3"/>
  <c r="AA63" i="2"/>
  <c r="AA62" i="2"/>
  <c r="AB21" i="2"/>
  <c r="AA18" i="2"/>
  <c r="AB62" i="2" l="1"/>
  <c r="AC21" i="2"/>
  <c r="AB18" i="2"/>
  <c r="AB63" i="2"/>
  <c r="AD62" i="3"/>
  <c r="AE21" i="3"/>
  <c r="AD63" i="3"/>
  <c r="AD18" i="3"/>
  <c r="AC18" i="1"/>
  <c r="AC62" i="1"/>
  <c r="AD21" i="1"/>
  <c r="AC63" i="1"/>
  <c r="AD62" i="1" l="1"/>
  <c r="AE21" i="1"/>
  <c r="AD63" i="1"/>
  <c r="AD18" i="1"/>
  <c r="AC63" i="2"/>
  <c r="AC62" i="2"/>
  <c r="AD21" i="2"/>
  <c r="AC18" i="2"/>
  <c r="AE65" i="3"/>
  <c r="AF21" i="3"/>
  <c r="AE60" i="3"/>
  <c r="AE57" i="3"/>
  <c r="AE54" i="3"/>
  <c r="AE51" i="3"/>
  <c r="AE48" i="3"/>
  <c r="AE45" i="3"/>
  <c r="AE42" i="3"/>
  <c r="AE39" i="3"/>
  <c r="AE36" i="3"/>
  <c r="AE33" i="3"/>
  <c r="AE30" i="3"/>
  <c r="AE27" i="3"/>
  <c r="AE24" i="3"/>
  <c r="AE64" i="3"/>
  <c r="AE63" i="3"/>
  <c r="AE59" i="3"/>
  <c r="AE56" i="3"/>
  <c r="AE53" i="3"/>
  <c r="AE50" i="3"/>
  <c r="AE47" i="3"/>
  <c r="AE44" i="3"/>
  <c r="AE41" i="3"/>
  <c r="AE38" i="3"/>
  <c r="AE35" i="3"/>
  <c r="AE32" i="3"/>
  <c r="AE29" i="3"/>
  <c r="AE26" i="3"/>
  <c r="AE23" i="3"/>
  <c r="AE18" i="3"/>
  <c r="AE62" i="3"/>
  <c r="AE46" i="3"/>
  <c r="AE61" i="3"/>
  <c r="AE25" i="3"/>
  <c r="AE40" i="3"/>
  <c r="AE55" i="3"/>
  <c r="AE34" i="3"/>
  <c r="AE49" i="3"/>
  <c r="AE28" i="3"/>
  <c r="AE43" i="3"/>
  <c r="AE37" i="3"/>
  <c r="AE58" i="3"/>
  <c r="AE22" i="3"/>
  <c r="AE17" i="3" s="1"/>
  <c r="AE52" i="3"/>
  <c r="AE31" i="3"/>
  <c r="AD63" i="2" l="1"/>
  <c r="AD62" i="2"/>
  <c r="AD18" i="2"/>
  <c r="AE21" i="2"/>
  <c r="AE60" i="1"/>
  <c r="AE57" i="1"/>
  <c r="AE54" i="1"/>
  <c r="AE51" i="1"/>
  <c r="AE48" i="1"/>
  <c r="AE45" i="1"/>
  <c r="AE42" i="1"/>
  <c r="AE39" i="1"/>
  <c r="AE36" i="1"/>
  <c r="AE33" i="1"/>
  <c r="AE30" i="1"/>
  <c r="AE24" i="1"/>
  <c r="AE64" i="1"/>
  <c r="AE29" i="1"/>
  <c r="AE23" i="1"/>
  <c r="AE61" i="1"/>
  <c r="AE58" i="1"/>
  <c r="AE55" i="1"/>
  <c r="AE52" i="1"/>
  <c r="AE49" i="1"/>
  <c r="AE46" i="1"/>
  <c r="AE43" i="1"/>
  <c r="AE40" i="1"/>
  <c r="AE37" i="1"/>
  <c r="AE34" i="1"/>
  <c r="AE31" i="1"/>
  <c r="AE26" i="1"/>
  <c r="AE35" i="1"/>
  <c r="AE25" i="1"/>
  <c r="AE53" i="1"/>
  <c r="AE65" i="1"/>
  <c r="AE38" i="1"/>
  <c r="AE22" i="1"/>
  <c r="AF21" i="1"/>
  <c r="AE56" i="1"/>
  <c r="AE41" i="1"/>
  <c r="AE63" i="1"/>
  <c r="AE44" i="1"/>
  <c r="AE28" i="1"/>
  <c r="AE59" i="1"/>
  <c r="AE18" i="1"/>
  <c r="AE47" i="1"/>
  <c r="AE27" i="1"/>
  <c r="AE62" i="1"/>
  <c r="AE50" i="1"/>
  <c r="AE32" i="1"/>
  <c r="AF61" i="3"/>
  <c r="AF58" i="3"/>
  <c r="AF55" i="3"/>
  <c r="AF52" i="3"/>
  <c r="AF49" i="3"/>
  <c r="AF46" i="3"/>
  <c r="AF43" i="3"/>
  <c r="AF40" i="3"/>
  <c r="AF37" i="3"/>
  <c r="AF34" i="3"/>
  <c r="AF31" i="3"/>
  <c r="AF28" i="3"/>
  <c r="AF25" i="3"/>
  <c r="AF22" i="3"/>
  <c r="AF17" i="3" s="1"/>
  <c r="F18" i="3" s="1"/>
  <c r="AF65" i="3"/>
  <c r="AF60" i="3"/>
  <c r="AF57" i="3"/>
  <c r="AF54" i="3"/>
  <c r="AF51" i="3"/>
  <c r="AF48" i="3"/>
  <c r="AF45" i="3"/>
  <c r="AF42" i="3"/>
  <c r="AF39" i="3"/>
  <c r="AF36" i="3"/>
  <c r="AF33" i="3"/>
  <c r="AF30" i="3"/>
  <c r="AF27" i="3"/>
  <c r="AF24" i="3"/>
  <c r="AF64" i="3"/>
  <c r="AF63" i="3"/>
  <c r="AF59" i="3"/>
  <c r="AF56" i="3"/>
  <c r="AF53" i="3"/>
  <c r="AF50" i="3"/>
  <c r="AF47" i="3"/>
  <c r="AF44" i="3"/>
  <c r="AF41" i="3"/>
  <c r="AF38" i="3"/>
  <c r="AF35" i="3"/>
  <c r="AF32" i="3"/>
  <c r="AF29" i="3"/>
  <c r="AF26" i="3"/>
  <c r="AF23" i="3"/>
  <c r="AF18" i="3"/>
  <c r="AF62" i="3"/>
  <c r="H20" i="3" l="1"/>
  <c r="F20" i="3"/>
  <c r="AC19" i="3" s="1" a="1"/>
  <c r="AC19" i="3" s="1"/>
  <c r="AE62" i="2"/>
  <c r="AE61" i="2"/>
  <c r="AE58" i="2"/>
  <c r="AE55" i="2"/>
  <c r="AE52" i="2"/>
  <c r="AE49" i="2"/>
  <c r="AE46" i="2"/>
  <c r="AE43" i="2"/>
  <c r="AE40" i="2"/>
  <c r="AE37" i="2"/>
  <c r="AE34" i="2"/>
  <c r="AE31" i="2"/>
  <c r="AE65" i="2"/>
  <c r="AE24" i="2"/>
  <c r="AE64" i="2"/>
  <c r="AE63" i="2"/>
  <c r="AE59" i="2"/>
  <c r="AE56" i="2"/>
  <c r="AE53" i="2"/>
  <c r="AE50" i="2"/>
  <c r="AE47" i="2"/>
  <c r="AE44" i="2"/>
  <c r="AE41" i="2"/>
  <c r="AE38" i="2"/>
  <c r="AE35" i="2"/>
  <c r="AE32" i="2"/>
  <c r="AE29" i="2"/>
  <c r="AE26" i="2"/>
  <c r="AE22" i="2"/>
  <c r="AE17" i="2" s="1"/>
  <c r="AE25" i="2"/>
  <c r="AE60" i="2"/>
  <c r="AE48" i="2"/>
  <c r="AE36" i="2"/>
  <c r="AE28" i="2"/>
  <c r="AE18" i="2"/>
  <c r="AE51" i="2"/>
  <c r="AE39" i="2"/>
  <c r="AE23" i="2"/>
  <c r="AE27" i="2"/>
  <c r="AE54" i="2"/>
  <c r="AE42" i="2"/>
  <c r="AE30" i="2"/>
  <c r="AF21" i="2"/>
  <c r="AE57" i="2"/>
  <c r="AE45" i="2"/>
  <c r="AE33" i="2"/>
  <c r="AF64" i="1"/>
  <c r="AF29" i="1"/>
  <c r="AF23" i="1"/>
  <c r="AF61" i="1"/>
  <c r="AF58" i="1"/>
  <c r="AF55" i="1"/>
  <c r="AF52" i="1"/>
  <c r="AF57" i="1"/>
  <c r="AF53" i="1"/>
  <c r="AF42" i="1"/>
  <c r="AF24" i="1"/>
  <c r="AF43" i="1"/>
  <c r="AF65" i="1"/>
  <c r="AF49" i="1"/>
  <c r="AF38" i="1"/>
  <c r="AF31" i="1"/>
  <c r="AF22" i="1"/>
  <c r="AF28" i="1"/>
  <c r="AF45" i="1"/>
  <c r="AF60" i="1"/>
  <c r="AF56" i="1"/>
  <c r="AF41" i="1"/>
  <c r="AF34" i="1"/>
  <c r="AF44" i="1"/>
  <c r="AF37" i="1"/>
  <c r="AF50" i="1"/>
  <c r="AF46" i="1"/>
  <c r="AF48" i="1"/>
  <c r="AF30" i="1"/>
  <c r="AF63" i="1"/>
  <c r="AF54" i="1"/>
  <c r="AF32" i="1"/>
  <c r="AF62" i="1"/>
  <c r="AF59" i="1"/>
  <c r="AF51" i="1"/>
  <c r="AF33" i="1"/>
  <c r="AF18" i="1"/>
  <c r="AF26" i="1"/>
  <c r="AF47" i="1"/>
  <c r="AF40" i="1"/>
  <c r="AF27" i="1"/>
  <c r="AF36" i="1"/>
  <c r="AF39" i="1"/>
  <c r="AF25" i="1"/>
  <c r="AF35" i="1"/>
  <c r="AE17" i="1"/>
  <c r="N19" i="3" l="1" a="1"/>
  <c r="N19" i="3" s="1"/>
  <c r="AF19" i="3" a="1"/>
  <c r="AF19" i="3" s="1"/>
  <c r="AA19" i="3" a="1"/>
  <c r="AA19" i="3" s="1"/>
  <c r="X19" i="3" a="1"/>
  <c r="X19" i="3" s="1"/>
  <c r="T19" i="3" a="1"/>
  <c r="T19" i="3" s="1"/>
  <c r="O19" i="3" a="1"/>
  <c r="O19" i="3" s="1"/>
  <c r="AD19" i="3" a="1"/>
  <c r="AD19" i="3" s="1"/>
  <c r="Z19" i="3" a="1"/>
  <c r="Z19" i="3" s="1"/>
  <c r="M19" i="3" a="1"/>
  <c r="M19" i="3" s="1"/>
  <c r="J19" i="3" a="1"/>
  <c r="J19" i="3" s="1"/>
  <c r="S19" i="3" a="1"/>
  <c r="S19" i="3" s="1"/>
  <c r="P19" i="3" a="1"/>
  <c r="P19" i="3" s="1"/>
  <c r="Y19" i="3" a="1"/>
  <c r="Y19" i="3" s="1"/>
  <c r="V19" i="3" a="1"/>
  <c r="V19" i="3" s="1"/>
  <c r="L19" i="3" a="1"/>
  <c r="L19" i="3" s="1"/>
  <c r="AE19" i="3" a="1"/>
  <c r="AE19" i="3" s="1"/>
  <c r="W19" i="3" a="1"/>
  <c r="W19" i="3" s="1"/>
  <c r="AF65" i="2"/>
  <c r="AF24" i="2"/>
  <c r="AF60" i="2"/>
  <c r="AF57" i="2"/>
  <c r="AF54" i="2"/>
  <c r="AF51" i="2"/>
  <c r="AF48" i="2"/>
  <c r="AF45" i="2"/>
  <c r="AF42" i="2"/>
  <c r="AF39" i="2"/>
  <c r="AF36" i="2"/>
  <c r="AF33" i="2"/>
  <c r="AF30" i="2"/>
  <c r="AF27" i="2"/>
  <c r="AF18" i="2"/>
  <c r="AF22" i="2"/>
  <c r="AF62" i="2"/>
  <c r="AF56" i="2"/>
  <c r="AF52" i="2"/>
  <c r="AF44" i="2"/>
  <c r="AF40" i="2"/>
  <c r="AF32" i="2"/>
  <c r="AF28" i="2"/>
  <c r="AF23" i="2"/>
  <c r="AF64" i="2"/>
  <c r="AF59" i="2"/>
  <c r="AF55" i="2"/>
  <c r="AF47" i="2"/>
  <c r="AF43" i="2"/>
  <c r="AF35" i="2"/>
  <c r="AF31" i="2"/>
  <c r="AF25" i="2"/>
  <c r="AF63" i="2"/>
  <c r="AF58" i="2"/>
  <c r="AF50" i="2"/>
  <c r="AF46" i="2"/>
  <c r="AF38" i="2"/>
  <c r="AF34" i="2"/>
  <c r="AF26" i="2"/>
  <c r="AF61" i="2"/>
  <c r="AF53" i="2"/>
  <c r="AF49" i="2"/>
  <c r="AF41" i="2"/>
  <c r="AF37" i="2"/>
  <c r="AF29" i="2"/>
  <c r="AB19" i="3" a="1"/>
  <c r="AB19" i="3" s="1"/>
  <c r="K19" i="3" a="1"/>
  <c r="K19" i="3" s="1"/>
  <c r="AF17" i="1"/>
  <c r="F18" i="1" s="1"/>
  <c r="H19" i="3" a="1"/>
  <c r="H19" i="3" s="1"/>
  <c r="I19" i="3" a="1"/>
  <c r="I19" i="3" s="1"/>
  <c r="Q19" i="3" a="1"/>
  <c r="Q19" i="3" s="1"/>
  <c r="R19" i="3" a="1"/>
  <c r="R19" i="3" s="1"/>
  <c r="U19" i="3" a="1"/>
  <c r="U19" i="3" s="1"/>
  <c r="H20" i="1" l="1"/>
  <c r="F20" i="1"/>
  <c r="AC19" i="1" s="1" a="1"/>
  <c r="AC19" i="1" s="1"/>
  <c r="AF17" i="2"/>
  <c r="F18" i="2" s="1"/>
  <c r="V19" i="1" l="1" a="1"/>
  <c r="V19" i="1" s="1"/>
  <c r="O19" i="1" a="1"/>
  <c r="O19" i="1" s="1"/>
  <c r="Y19" i="1" a="1"/>
  <c r="Y19" i="1" s="1"/>
  <c r="L19" i="1" a="1"/>
  <c r="L19" i="1" s="1"/>
  <c r="H19" i="1" a="1"/>
  <c r="H19" i="1" s="1"/>
  <c r="P19" i="1" a="1"/>
  <c r="P19" i="1" s="1"/>
  <c r="R19" i="1" a="1"/>
  <c r="R19" i="1" s="1"/>
  <c r="AD19" i="1" a="1"/>
  <c r="AD19" i="1" s="1"/>
  <c r="H20" i="2"/>
  <c r="F20" i="2"/>
  <c r="N19" i="2" s="1" a="1"/>
  <c r="N19" i="2" s="1"/>
  <c r="AF19" i="1" a="1"/>
  <c r="AF19" i="1" s="1"/>
  <c r="W19" i="1" a="1"/>
  <c r="W19" i="1" s="1"/>
  <c r="S19" i="1" a="1"/>
  <c r="S19" i="1" s="1"/>
  <c r="J19" i="1" a="1"/>
  <c r="J19" i="1" s="1"/>
  <c r="AB19" i="1" a="1"/>
  <c r="AB19" i="1" s="1"/>
  <c r="N19" i="1" a="1"/>
  <c r="N19" i="1" s="1"/>
  <c r="M19" i="1" a="1"/>
  <c r="M19" i="1" s="1"/>
  <c r="I19" i="1" a="1"/>
  <c r="I19" i="1" s="1"/>
  <c r="K19" i="1" a="1"/>
  <c r="K19" i="1" s="1"/>
  <c r="T19" i="1" a="1"/>
  <c r="T19" i="1" s="1"/>
  <c r="U19" i="1" a="1"/>
  <c r="U19" i="1" s="1"/>
  <c r="AE19" i="1" a="1"/>
  <c r="AE19" i="1" s="1"/>
  <c r="AA19" i="1" a="1"/>
  <c r="AA19" i="1" s="1"/>
  <c r="Q19" i="1" a="1"/>
  <c r="Q19" i="1" s="1"/>
  <c r="X19" i="1" a="1"/>
  <c r="X19" i="1" s="1"/>
  <c r="Z19" i="1" a="1"/>
  <c r="Z19" i="1" s="1"/>
  <c r="O19" i="2" l="1" a="1"/>
  <c r="O19" i="2" s="1"/>
  <c r="Y19" i="2" a="1"/>
  <c r="Y19" i="2" s="1"/>
  <c r="AE19" i="2" a="1"/>
  <c r="AE19" i="2" s="1"/>
  <c r="AC19" i="2" a="1"/>
  <c r="AC19" i="2" s="1"/>
  <c r="H19" i="2" a="1"/>
  <c r="H19" i="2" s="1"/>
  <c r="K19" i="2" a="1"/>
  <c r="K19" i="2" s="1"/>
  <c r="P19" i="2" a="1"/>
  <c r="P19" i="2" s="1"/>
  <c r="L19" i="2" a="1"/>
  <c r="L19" i="2" s="1"/>
  <c r="T19" i="2" a="1"/>
  <c r="T19" i="2" s="1"/>
  <c r="X19" i="2" a="1"/>
  <c r="X19" i="2" s="1"/>
  <c r="AD19" i="2" a="1"/>
  <c r="AD19" i="2" s="1"/>
  <c r="Z19" i="2" a="1"/>
  <c r="Z19" i="2" s="1"/>
  <c r="W19" i="2" a="1"/>
  <c r="W19" i="2" s="1"/>
  <c r="J19" i="2" a="1"/>
  <c r="J19" i="2" s="1"/>
  <c r="AF19" i="2" a="1"/>
  <c r="AF19" i="2" s="1"/>
  <c r="V19" i="2" a="1"/>
  <c r="V19" i="2" s="1"/>
  <c r="U19" i="2" a="1"/>
  <c r="U19" i="2" s="1"/>
  <c r="AB19" i="2" a="1"/>
  <c r="AB19" i="2" s="1"/>
  <c r="Q19" i="2" a="1"/>
  <c r="Q19" i="2" s="1"/>
  <c r="M19" i="2" a="1"/>
  <c r="M19" i="2" s="1"/>
  <c r="AA19" i="2" a="1"/>
  <c r="AA19" i="2" s="1"/>
  <c r="S19" i="2" a="1"/>
  <c r="S19" i="2" s="1"/>
  <c r="R19" i="2" a="1"/>
  <c r="R19" i="2" s="1"/>
  <c r="I19" i="2" a="1"/>
  <c r="I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ID#AAAB3AahyNg
Petri Heiramo    (2026-04-04 04:42:06)
Count only active working and implementation days. Do not include Planning Day or Sprint Review.
E.g. a 4-week Sprint would most likely have 18 implementation days.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ZtKuoLw6rBsRDmHPCXj+4UlMf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ID#AAAB3AahyNc
Petri Heiramo    (2026-04-04 04:42:06)
Count only active working and implementation days. Do not include Planning Day or Sprint Review.
E.g. a 4-week Sprint would most likely have 18 implementation days.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1zXqPR6XvglyH4WdZ0ANzpAjAA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======
ID#AAAB3AahyNY
Petri Heiramo    (2026-04-04 04:42:06)
Count only active working and implementation days. Do not include Planning Day or Sprint Review.
E.g. a 4-week Sprint would most likely have 18 implementation days.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opMoPwOwIibxpxD2zGu2Z13qsA=="/>
    </ext>
  </extLst>
</comments>
</file>

<file path=xl/sharedStrings.xml><?xml version="1.0" encoding="utf-8"?>
<sst xmlns="http://schemas.openxmlformats.org/spreadsheetml/2006/main" count="123" uniqueCount="53">
  <si>
    <t>Nombre del Proyecto:</t>
  </si>
  <si>
    <t>Planner UC – Sistema de Generación Óptima de Horarios Académicos</t>
  </si>
  <si>
    <t>Dueño del Proyecto</t>
  </si>
  <si>
    <t>Gamarra Moreno Daniel</t>
  </si>
  <si>
    <t>Gerente del Proyecto:</t>
  </si>
  <si>
    <t>Tapia De La Cruz Jhann Pier</t>
  </si>
  <si>
    <t>Duración del Sprint</t>
  </si>
  <si>
    <t>Esfuerzo</t>
  </si>
  <si>
    <t>Faltante en los días siguientes…</t>
  </si>
  <si>
    <t>Tendencia calculada en los últimos</t>
  </si>
  <si>
    <t>Días</t>
  </si>
  <si>
    <t>Totales</t>
  </si>
  <si>
    <t>Task rows</t>
  </si>
  <si>
    <t>Done days</t>
  </si>
  <si>
    <t>Warning! These are necessary</t>
  </si>
  <si>
    <t>Trend</t>
  </si>
  <si>
    <t>template rows</t>
  </si>
  <si>
    <t>Trend Days</t>
  </si>
  <si>
    <t>ID Tarea</t>
  </si>
  <si>
    <t>Tarea</t>
  </si>
  <si>
    <t>ID Historia</t>
  </si>
  <si>
    <t>Responsable</t>
  </si>
  <si>
    <t>Estado</t>
  </si>
  <si>
    <t>Est.</t>
  </si>
  <si>
    <t>Implementar endpoint de login con validación de credenciales y generación de JWT</t>
  </si>
  <si>
    <t>HU01</t>
  </si>
  <si>
    <t>Integrante 1</t>
  </si>
  <si>
    <t>En Progreso</t>
  </si>
  <si>
    <t>Implementar almacenamiento de contraseñas con bcrypt (cost factor ≥ 10)</t>
  </si>
  <si>
    <t>Implementar endpoint de logout con invalidación del token/sesión</t>
  </si>
  <si>
    <t>Desarrollar vistas SPA de login y logout</t>
  </si>
  <si>
    <t>Integrante 2</t>
  </si>
  <si>
    <t>Diseñar e implementar middleware de autorización por roles en la API REST</t>
  </si>
  <si>
    <t>HU02</t>
  </si>
  <si>
    <t>Escribir suite de pruebas de autorización: acceso correcto e incorrecto por cada rol</t>
  </si>
  <si>
    <t>Verificar uso de queries parametrizados u ORM en todos los accesos a base de datos</t>
  </si>
  <si>
    <t>HU03</t>
  </si>
  <si>
    <t>Integrante 3</t>
  </si>
  <si>
    <t>Por Hacer</t>
  </si>
  <si>
    <t>Implementar escape de salida HTML en las vistas SPA para prevenir XSS</t>
  </si>
  <si>
    <t>Implementar protección CSRF (tokens de sincronización o SameSite cookies</t>
  </si>
  <si>
    <t>Done</t>
  </si>
  <si>
    <t>In Progress</t>
  </si>
  <si>
    <t>To Do</t>
  </si>
  <si>
    <t>Tarea 1</t>
  </si>
  <si>
    <t>Luis</t>
  </si>
  <si>
    <t>Terminado</t>
  </si>
  <si>
    <t>Tarea 2</t>
  </si>
  <si>
    <t>Jorge</t>
  </si>
  <si>
    <t>Tarea 3</t>
  </si>
  <si>
    <t>Carolina</t>
  </si>
  <si>
    <t>Tarea 4</t>
  </si>
  <si>
    <t>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</si>
</sst>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print &quot;#&quot; Backlog&quot;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2" fillId="2" borderId="1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5" fillId="0" borderId="0" xfId="0" applyFont="1"/>
    <xf numFmtId="0" fontId="6" fillId="3" borderId="5" xfId="0" applyFont="1" applyFill="1" applyBorder="1"/>
    <xf numFmtId="0" fontId="1" fillId="3" borderId="5" xfId="0" applyFont="1" applyFill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6" fillId="3" borderId="5" xfId="0" applyFont="1" applyFill="1" applyBorder="1" applyAlignment="1">
      <alignment horizontal="center"/>
    </xf>
    <xf numFmtId="0" fontId="8" fillId="0" borderId="13" xfId="0" applyFont="1" applyBorder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4" fillId="0" borderId="7" xfId="0" applyFont="1" applyBorder="1"/>
    <xf numFmtId="0" fontId="4" fillId="0" borderId="8" xfId="0" applyFont="1" applyBorder="1"/>
    <xf numFmtId="0" fontId="2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1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'Sprint 1'!$H$17:$AF$17</c:f>
              <c:numCache>
                <c:formatCode>General</c:formatCode>
                <c:ptCount val="25"/>
                <c:pt idx="0">
                  <c:v>29</c:v>
                </c:pt>
                <c:pt idx="1">
                  <c:v>22</c:v>
                </c:pt>
                <c:pt idx="2">
                  <c:v>16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51-4BE8-96F5-573D2EEA1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9908637"/>
        <c:axId val="940494888"/>
      </c:barChart>
      <c:lineChart>
        <c:grouping val="standard"/>
        <c:varyColors val="1"/>
        <c:ser>
          <c:idx val="1"/>
          <c:order val="1"/>
          <c:tx>
            <c:v>Ideal Progress</c:v>
          </c:tx>
          <c:spPr>
            <a:ln w="9525" cmpd="sng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1'!$H$18:$AF$18</c:f>
              <c:numCache>
                <c:formatCode>General</c:formatCode>
                <c:ptCount val="25"/>
                <c:pt idx="0">
                  <c:v>29</c:v>
                </c:pt>
                <c:pt idx="1">
                  <c:v>27.473684210526315</c:v>
                </c:pt>
                <c:pt idx="2">
                  <c:v>25.94736842105263</c:v>
                </c:pt>
                <c:pt idx="3">
                  <c:v>24.421052631578945</c:v>
                </c:pt>
                <c:pt idx="4">
                  <c:v>22.894736842105264</c:v>
                </c:pt>
                <c:pt idx="5">
                  <c:v>21.368421052631579</c:v>
                </c:pt>
                <c:pt idx="6">
                  <c:v>19.842105263157894</c:v>
                </c:pt>
                <c:pt idx="7">
                  <c:v>18.315789473684212</c:v>
                </c:pt>
                <c:pt idx="8">
                  <c:v>16.789473684210527</c:v>
                </c:pt>
                <c:pt idx="9">
                  <c:v>15.263157894736841</c:v>
                </c:pt>
                <c:pt idx="10">
                  <c:v>13.736842105263158</c:v>
                </c:pt>
                <c:pt idx="11">
                  <c:v>12.210526315789473</c:v>
                </c:pt>
                <c:pt idx="12">
                  <c:v>10.684210526315788</c:v>
                </c:pt>
                <c:pt idx="13">
                  <c:v>9.1578947368421026</c:v>
                </c:pt>
                <c:pt idx="14">
                  <c:v>7.6315789473684212</c:v>
                </c:pt>
                <c:pt idx="15">
                  <c:v>6.1052631578947363</c:v>
                </c:pt>
                <c:pt idx="16">
                  <c:v>4.5789473684210513</c:v>
                </c:pt>
                <c:pt idx="17">
                  <c:v>3.0526315789473664</c:v>
                </c:pt>
                <c:pt idx="18">
                  <c:v>1.5263157894736814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51-4BE8-96F5-573D2EEA195D}"/>
            </c:ext>
          </c:extLst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1'!$H$19:$AF$19</c:f>
              <c:numCache>
                <c:formatCode>General</c:formatCode>
                <c:ptCount val="25"/>
                <c:pt idx="0">
                  <c:v>28.7</c:v>
                </c:pt>
                <c:pt idx="1">
                  <c:v>22.4</c:v>
                </c:pt>
                <c:pt idx="2">
                  <c:v>16.099999999999998</c:v>
                </c:pt>
                <c:pt idx="3">
                  <c:v>9.7999999999999972</c:v>
                </c:pt>
                <c:pt idx="4">
                  <c:v>3.4999999999999964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51-4BE8-96F5-573D2EEA1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9908637"/>
        <c:axId val="940494888"/>
      </c:lineChart>
      <c:catAx>
        <c:axId val="729908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0494888"/>
        <c:crosses val="autoZero"/>
        <c:auto val="1"/>
        <c:lblAlgn val="ctr"/>
        <c:lblOffset val="100"/>
        <c:noMultiLvlLbl val="1"/>
      </c:catAx>
      <c:valAx>
        <c:axId val="940494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PE" sz="800" b="0" i="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500" b="0" i="0">
                <a:solidFill>
                  <a:srgbClr val="000000"/>
                </a:solidFill>
                <a:latin typeface="Arial"/>
              </a:defRPr>
            </a:pPr>
            <a:endParaRPr lang="es-PE"/>
          </a:p>
        </c:txPr>
        <c:crossAx val="729908637"/>
        <c:crosses val="autoZero"/>
        <c:crossBetween val="between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</c:manualLayout>
      </c:layout>
      <c:overlay val="0"/>
      <c:txPr>
        <a:bodyPr/>
        <a:lstStyle/>
        <a:p>
          <a:pPr lvl="0">
            <a:defRPr sz="700" b="0" i="0">
              <a:solidFill>
                <a:srgbClr val="000000"/>
              </a:solidFill>
              <a:latin typeface="Arial"/>
            </a:defRPr>
          </a:pPr>
          <a:endParaRPr lang="es-PE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1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'Sprint 2'!$H$17:$AF$17</c:f>
              <c:numCache>
                <c:formatCode>General</c:formatCode>
                <c:ptCount val="25"/>
                <c:pt idx="0">
                  <c:v>62</c:v>
                </c:pt>
                <c:pt idx="1">
                  <c:v>55</c:v>
                </c:pt>
                <c:pt idx="2">
                  <c:v>49</c:v>
                </c:pt>
                <c:pt idx="3">
                  <c:v>43</c:v>
                </c:pt>
                <c:pt idx="4">
                  <c:v>34</c:v>
                </c:pt>
                <c:pt idx="5">
                  <c:v>24</c:v>
                </c:pt>
                <c:pt idx="6">
                  <c:v>15</c:v>
                </c:pt>
                <c:pt idx="7">
                  <c:v>10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B3-4682-8E46-DFAF46B7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207147"/>
        <c:axId val="2119556215"/>
      </c:barChart>
      <c:lineChart>
        <c:grouping val="standard"/>
        <c:varyColors val="1"/>
        <c:ser>
          <c:idx val="1"/>
          <c:order val="1"/>
          <c:tx>
            <c:v>Ideal Progress</c:v>
          </c:tx>
          <c:spPr>
            <a:ln w="9525" cmpd="sng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2'!$H$18:$AF$18</c:f>
              <c:numCache>
                <c:formatCode>General</c:formatCode>
                <c:ptCount val="25"/>
                <c:pt idx="0">
                  <c:v>62</c:v>
                </c:pt>
                <c:pt idx="1">
                  <c:v>55.8</c:v>
                </c:pt>
                <c:pt idx="2">
                  <c:v>49.6</c:v>
                </c:pt>
                <c:pt idx="3">
                  <c:v>43.4</c:v>
                </c:pt>
                <c:pt idx="4">
                  <c:v>37.200000000000003</c:v>
                </c:pt>
                <c:pt idx="5">
                  <c:v>31</c:v>
                </c:pt>
                <c:pt idx="6">
                  <c:v>24.799999999999997</c:v>
                </c:pt>
                <c:pt idx="7">
                  <c:v>18.600000000000001</c:v>
                </c:pt>
                <c:pt idx="8">
                  <c:v>12.399999999999999</c:v>
                </c:pt>
                <c:pt idx="9">
                  <c:v>6.1999999999999957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3-4682-8E46-DFAF46B7CF64}"/>
            </c:ext>
          </c:extLst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2'!$H$19:$AF$19</c:f>
              <c:numCache>
                <c:formatCode>General</c:formatCode>
                <c:ptCount val="25"/>
                <c:pt idx="0">
                  <c:v>62.844444444444441</c:v>
                </c:pt>
                <c:pt idx="1">
                  <c:v>55.411111111111104</c:v>
                </c:pt>
                <c:pt idx="2">
                  <c:v>47.977777777777774</c:v>
                </c:pt>
                <c:pt idx="3">
                  <c:v>40.544444444444437</c:v>
                </c:pt>
                <c:pt idx="4">
                  <c:v>33.111111111111107</c:v>
                </c:pt>
                <c:pt idx="5">
                  <c:v>25.677777777777777</c:v>
                </c:pt>
                <c:pt idx="6">
                  <c:v>18.24444444444444</c:v>
                </c:pt>
                <c:pt idx="7">
                  <c:v>10.81111111111111</c:v>
                </c:pt>
                <c:pt idx="8">
                  <c:v>3.37777777777778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B3-4682-8E46-DFAF46B7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207147"/>
        <c:axId val="2119556215"/>
      </c:lineChart>
      <c:catAx>
        <c:axId val="1629207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119556215"/>
        <c:crosses val="autoZero"/>
        <c:auto val="1"/>
        <c:lblAlgn val="ctr"/>
        <c:lblOffset val="100"/>
        <c:noMultiLvlLbl val="1"/>
      </c:catAx>
      <c:valAx>
        <c:axId val="2119556215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500" b="0" i="0">
                <a:solidFill>
                  <a:srgbClr val="000000"/>
                </a:solidFill>
                <a:latin typeface="Arial"/>
              </a:defRPr>
            </a:pPr>
            <a:endParaRPr lang="es-PE"/>
          </a:p>
        </c:txPr>
        <c:crossAx val="1629207147"/>
        <c:crosses val="autoZero"/>
        <c:crossBetween val="between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</c:manualLayout>
      </c:layout>
      <c:overlay val="0"/>
      <c:txPr>
        <a:bodyPr/>
        <a:lstStyle/>
        <a:p>
          <a:pPr lvl="0">
            <a:defRPr sz="700" b="0" i="0">
              <a:solidFill>
                <a:srgbClr val="000000"/>
              </a:solidFill>
              <a:latin typeface="Arial"/>
            </a:defRPr>
          </a:pPr>
          <a:endParaRPr lang="es-PE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1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'Plantilla Sprint'!$H$17:$AF$17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92-44D7-8F7E-DFC868C6C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5796504"/>
        <c:axId val="14667545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9525" cmpd="sng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'Plantilla Sprint'!$H$18:$AF$18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92-44D7-8F7E-DFC868C6C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796504"/>
        <c:axId val="14667545"/>
      </c:lineChart>
      <c:catAx>
        <c:axId val="169579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4667545"/>
        <c:crosses val="autoZero"/>
        <c:auto val="1"/>
        <c:lblAlgn val="ctr"/>
        <c:lblOffset val="100"/>
        <c:noMultiLvlLbl val="1"/>
      </c:catAx>
      <c:valAx>
        <c:axId val="14667545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800" b="0" i="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500" b="0" i="0">
                <a:solidFill>
                  <a:srgbClr val="000000"/>
                </a:solidFill>
                <a:latin typeface="Arial"/>
              </a:defRPr>
            </a:pPr>
            <a:endParaRPr lang="es-PE"/>
          </a:p>
        </c:txPr>
        <c:crossAx val="1695796504"/>
        <c:crosses val="autoZero"/>
        <c:crossBetween val="between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</c:manualLayout>
      </c:layout>
      <c:overlay val="0"/>
      <c:txPr>
        <a:bodyPr/>
        <a:lstStyle/>
        <a:p>
          <a:pPr lvl="0">
            <a:defRPr sz="700" b="0" i="0">
              <a:solidFill>
                <a:srgbClr val="000000"/>
              </a:solidFill>
              <a:latin typeface="Arial"/>
            </a:defRPr>
          </a:pPr>
          <a:endParaRPr lang="es-PE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485775</xdr:colOff>
      <xdr:row>7</xdr:row>
      <xdr:rowOff>38100</xdr:rowOff>
    </xdr:from>
    <xdr:ext cx="10506075" cy="1228725"/>
    <xdr:graphicFrame macro="">
      <xdr:nvGraphicFramePr>
        <xdr:cNvPr id="1638744571" name="Chart 1">
          <a:extLst>
            <a:ext uri="{FF2B5EF4-FFF2-40B4-BE49-F238E27FC236}">
              <a16:creationId xmlns:a16="http://schemas.microsoft.com/office/drawing/2014/main" id="{00000000-0008-0000-0000-0000FB41A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485775</xdr:colOff>
      <xdr:row>7</xdr:row>
      <xdr:rowOff>38100</xdr:rowOff>
    </xdr:from>
    <xdr:ext cx="10506075" cy="1228725"/>
    <xdr:graphicFrame macro="">
      <xdr:nvGraphicFramePr>
        <xdr:cNvPr id="850470480" name="Chart 2">
          <a:extLst>
            <a:ext uri="{FF2B5EF4-FFF2-40B4-BE49-F238E27FC236}">
              <a16:creationId xmlns:a16="http://schemas.microsoft.com/office/drawing/2014/main" id="{00000000-0008-0000-0100-00005026B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485775</xdr:colOff>
      <xdr:row>7</xdr:row>
      <xdr:rowOff>38100</xdr:rowOff>
    </xdr:from>
    <xdr:ext cx="10506075" cy="1228725"/>
    <xdr:graphicFrame macro="">
      <xdr:nvGraphicFramePr>
        <xdr:cNvPr id="830606068" name="Chart 3">
          <a:extLst>
            <a:ext uri="{FF2B5EF4-FFF2-40B4-BE49-F238E27FC236}">
              <a16:creationId xmlns:a16="http://schemas.microsoft.com/office/drawing/2014/main" id="{00000000-0008-0000-0200-0000F40A8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000"/>
  <sheetViews>
    <sheetView tabSelected="1" workbookViewId="0">
      <selection activeCell="G31" sqref="G31"/>
    </sheetView>
  </sheetViews>
  <sheetFormatPr baseColWidth="10" defaultColWidth="12.7109375" defaultRowHeight="15" customHeight="1" x14ac:dyDescent="0.2"/>
  <cols>
    <col min="1" max="1" width="3.28515625" customWidth="1"/>
    <col min="2" max="2" width="7" customWidth="1"/>
    <col min="3" max="3" width="68" customWidth="1"/>
    <col min="4" max="4" width="10.7109375" customWidth="1"/>
    <col min="5" max="5" width="13.7109375" customWidth="1"/>
    <col min="6" max="6" width="18" customWidth="1"/>
    <col min="7" max="7" width="11.140625" customWidth="1"/>
    <col min="8" max="32" width="4.28515625" customWidth="1"/>
    <col min="33" max="33" width="9.140625" customWidth="1"/>
  </cols>
  <sheetData>
    <row r="1" spans="2:32" ht="12.75" customHeight="1" x14ac:dyDescent="0.2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2:32" ht="10.5" customHeight="1" x14ac:dyDescent="0.2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spans="2:32" ht="15" customHeight="1" x14ac:dyDescent="0.2">
      <c r="B3" s="7"/>
      <c r="C3" s="8" t="s">
        <v>0</v>
      </c>
      <c r="D3" s="33" t="s">
        <v>1</v>
      </c>
      <c r="E3" s="34"/>
      <c r="F3" s="34"/>
      <c r="G3" s="34"/>
      <c r="H3" s="35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9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2:32" ht="15" customHeight="1" x14ac:dyDescent="0.2">
      <c r="B4" s="7"/>
      <c r="C4" s="8" t="s">
        <v>2</v>
      </c>
      <c r="D4" s="33" t="s">
        <v>3</v>
      </c>
      <c r="E4" s="34"/>
      <c r="F4" s="34"/>
      <c r="G4" s="34"/>
      <c r="H4" s="35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9"/>
      <c r="W4" s="10"/>
      <c r="X4" s="10"/>
      <c r="Y4" s="10"/>
      <c r="Z4" s="10"/>
      <c r="AA4" s="10"/>
      <c r="AB4" s="10"/>
      <c r="AC4" s="10"/>
      <c r="AD4" s="10"/>
      <c r="AE4" s="10"/>
      <c r="AF4" s="11"/>
    </row>
    <row r="5" spans="2:32" ht="15" customHeight="1" x14ac:dyDescent="0.2">
      <c r="B5" s="7"/>
      <c r="C5" s="8" t="s">
        <v>4</v>
      </c>
      <c r="D5" s="33" t="s">
        <v>5</v>
      </c>
      <c r="E5" s="34"/>
      <c r="F5" s="34"/>
      <c r="G5" s="34"/>
      <c r="H5" s="35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2:32" ht="15" customHeight="1" x14ac:dyDescent="0.2">
      <c r="B6" s="12"/>
      <c r="C6" s="13"/>
      <c r="D6" s="14"/>
      <c r="E6" s="14"/>
      <c r="F6" s="14"/>
      <c r="G6" s="14"/>
      <c r="H6" s="14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5"/>
      <c r="W6" s="16"/>
      <c r="X6" s="16"/>
      <c r="Y6" s="16"/>
      <c r="Z6" s="16"/>
      <c r="AA6" s="16"/>
      <c r="AB6" s="16"/>
      <c r="AC6" s="16"/>
      <c r="AD6" s="16"/>
      <c r="AE6" s="16"/>
      <c r="AF6" s="17"/>
    </row>
    <row r="7" spans="2:32" ht="12.75" customHeight="1" x14ac:dyDescent="0.2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2:32" ht="12.75" customHeight="1" x14ac:dyDescent="0.25">
      <c r="C8" s="18">
        <v>1</v>
      </c>
      <c r="D8" s="19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2:32" ht="12.75" customHeight="1" x14ac:dyDescent="0.2">
      <c r="D9" s="1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2:32" ht="12.75" customHeight="1" x14ac:dyDescent="0.2">
      <c r="D10" s="1"/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2:32" ht="12.75" customHeight="1" x14ac:dyDescent="0.2">
      <c r="D11" s="1"/>
      <c r="F11" s="2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2:32" ht="12.75" customHeight="1" x14ac:dyDescent="0.2">
      <c r="D12" s="1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2:32" ht="12.75" customHeight="1" x14ac:dyDescent="0.2">
      <c r="D13" s="1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2:32" ht="12.75" customHeight="1" x14ac:dyDescent="0.2">
      <c r="D14" s="1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2:32" ht="12.75" customHeight="1" x14ac:dyDescent="0.2">
      <c r="D15" s="1"/>
      <c r="F15" s="2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2:32" ht="12.75" customHeight="1" x14ac:dyDescent="0.2">
      <c r="B16" s="22"/>
      <c r="C16" s="22" t="s">
        <v>6</v>
      </c>
      <c r="D16" s="1">
        <v>19</v>
      </c>
      <c r="E16" s="22"/>
      <c r="F16" s="23"/>
      <c r="G16" s="22" t="s">
        <v>7</v>
      </c>
      <c r="H16" s="22" t="s">
        <v>8</v>
      </c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2:32" ht="12.75" customHeight="1" x14ac:dyDescent="0.2">
      <c r="B17" s="22"/>
      <c r="C17" s="22" t="s">
        <v>9</v>
      </c>
      <c r="D17" s="1">
        <v>10</v>
      </c>
      <c r="E17" s="22" t="s">
        <v>10</v>
      </c>
      <c r="F17" s="22" t="s">
        <v>11</v>
      </c>
      <c r="G17" s="24">
        <f ca="1">SUM(OFFSET(G21,1,0,'Sprint 1'!TaskRows,1))</f>
        <v>29</v>
      </c>
      <c r="H17" s="24">
        <f ca="1">IF(AND(SUM(OFFSET(H21,1,0,'Sprint 1'!TaskRows,1))=0),0,SUM(OFFSET(H21,1,0,'Sprint 1'!TaskRows,1)))</f>
        <v>29</v>
      </c>
      <c r="I17" s="24">
        <f ca="1">IF(AND(SUM(OFFSET(I21,1,0,'Sprint 1'!TaskRows,1))=0),"",SUM(OFFSET(I21,1,0,'Sprint 1'!TaskRows,1)))</f>
        <v>22</v>
      </c>
      <c r="J17" s="24">
        <f ca="1">IF(AND(SUM(OFFSET(J21,1,0,'Sprint 1'!TaskRows,1))=0),"",SUM(OFFSET(J21,1,0,'Sprint 1'!TaskRows,1)))</f>
        <v>16</v>
      </c>
      <c r="K17" s="24">
        <f ca="1">IF(AND(SUM(OFFSET(K21,1,0,'Sprint 1'!TaskRows,1))=0),"",SUM(OFFSET(K21,1,0,'Sprint 1'!TaskRows,1)))</f>
        <v>10</v>
      </c>
      <c r="L17" s="24" t="str">
        <f ca="1">IF(AND(SUM(OFFSET(L21,1,0,'Sprint 1'!TaskRows,1))=0),"",SUM(OFFSET(L21,1,0,'Sprint 1'!TaskRows,1)))</f>
        <v/>
      </c>
      <c r="M17" s="24" t="str">
        <f ca="1">IF(AND(SUM(OFFSET(M21,1,0,'Sprint 1'!TaskRows,1))=0),"",SUM(OFFSET(M21,1,0,'Sprint 1'!TaskRows,1)))</f>
        <v/>
      </c>
      <c r="N17" s="24" t="str">
        <f ca="1">IF(AND(SUM(OFFSET(N21,1,0,'Sprint 1'!TaskRows,1))=0),"",SUM(OFFSET(N21,1,0,'Sprint 1'!TaskRows,1)))</f>
        <v/>
      </c>
      <c r="O17" s="24" t="str">
        <f ca="1">IF(AND(SUM(OFFSET(O21,1,0,'Sprint 1'!TaskRows,1))=0),"",SUM(OFFSET(O21,1,0,'Sprint 1'!TaskRows,1)))</f>
        <v/>
      </c>
      <c r="P17" s="24" t="str">
        <f ca="1">IF(AND(SUM(OFFSET(P21,1,0,'Sprint 1'!TaskRows,1))=0),"",SUM(OFFSET(P21,1,0,'Sprint 1'!TaskRows,1)))</f>
        <v/>
      </c>
      <c r="Q17" s="24" t="str">
        <f ca="1">IF(AND(SUM(OFFSET(Q21,1,0,'Sprint 1'!TaskRows,1))=0),"",SUM(OFFSET(Q21,1,0,'Sprint 1'!TaskRows,1)))</f>
        <v/>
      </c>
      <c r="R17" s="24" t="str">
        <f ca="1">IF(AND(SUM(OFFSET(R21,1,0,'Sprint 1'!TaskRows,1))=0),"",SUM(OFFSET(R21,1,0,'Sprint 1'!TaskRows,1)))</f>
        <v/>
      </c>
      <c r="S17" s="24" t="str">
        <f ca="1">IF(AND(SUM(OFFSET(S21,1,0,'Sprint 1'!TaskRows,1))=0),"",SUM(OFFSET(S21,1,0,'Sprint 1'!TaskRows,1)))</f>
        <v/>
      </c>
      <c r="T17" s="24" t="str">
        <f ca="1">IF(AND(SUM(OFFSET(T21,1,0,'Sprint 1'!TaskRows,1))=0),"",SUM(OFFSET(T21,1,0,'Sprint 1'!TaskRows,1)))</f>
        <v/>
      </c>
      <c r="U17" s="24" t="str">
        <f ca="1">IF(AND(SUM(OFFSET(U21,1,0,'Sprint 1'!TaskRows,1))=0),"",SUM(OFFSET(U21,1,0,'Sprint 1'!TaskRows,1)))</f>
        <v/>
      </c>
      <c r="V17" s="24" t="str">
        <f ca="1">IF(AND(SUM(OFFSET(V21,1,0,'Sprint 1'!TaskRows,1))=0),"",SUM(OFFSET(V21,1,0,'Sprint 1'!TaskRows,1)))</f>
        <v/>
      </c>
      <c r="W17" s="24" t="str">
        <f ca="1">IF(AND(SUM(OFFSET(W21,1,0,'Sprint 1'!TaskRows,1))=0),"",SUM(OFFSET(W21,1,0,'Sprint 1'!TaskRows,1)))</f>
        <v/>
      </c>
      <c r="X17" s="24" t="str">
        <f ca="1">IF(AND(SUM(OFFSET(X21,1,0,'Sprint 1'!TaskRows,1))=0),"",SUM(OFFSET(X21,1,0,'Sprint 1'!TaskRows,1)))</f>
        <v/>
      </c>
      <c r="Y17" s="24" t="str">
        <f ca="1">IF(AND(SUM(OFFSET(Y21,1,0,'Sprint 1'!TaskRows,1))=0),"",SUM(OFFSET(Y21,1,0,'Sprint 1'!TaskRows,1)))</f>
        <v/>
      </c>
      <c r="Z17" s="24" t="str">
        <f ca="1">IF(AND(SUM(OFFSET(Z21,1,0,'Sprint 1'!TaskRows,1))=0),"",SUM(OFFSET(Z21,1,0,'Sprint 1'!TaskRows,1)))</f>
        <v/>
      </c>
      <c r="AA17" s="24" t="str">
        <f ca="1">IF(AND(SUM(OFFSET(AA21,1,0,'Sprint 1'!TaskRows,1))=0),"",SUM(OFFSET(AA21,1,0,'Sprint 1'!TaskRows,1)))</f>
        <v/>
      </c>
      <c r="AB17" s="24" t="str">
        <f ca="1">IF(AND(SUM(OFFSET(AB21,1,0,'Sprint 1'!TaskRows,1))=0),"",SUM(OFFSET(AB21,1,0,'Sprint 1'!TaskRows,1)))</f>
        <v/>
      </c>
      <c r="AC17" s="24" t="str">
        <f ca="1">IF(AND(SUM(OFFSET(AC21,1,0,'Sprint 1'!TaskRows,1))=0),"",SUM(OFFSET(AC21,1,0,'Sprint 1'!TaskRows,1)))</f>
        <v/>
      </c>
      <c r="AD17" s="24" t="str">
        <f ca="1">IF(AND(SUM(OFFSET(AD21,1,0,'Sprint 1'!TaskRows,1))=0),"",SUM(OFFSET(AD21,1,0,'Sprint 1'!TaskRows,1)))</f>
        <v/>
      </c>
      <c r="AE17" s="24" t="str">
        <f ca="1">IF(AND(SUM(OFFSET(AE21,1,0,'Sprint 1'!TaskRows,1))=0),"",SUM(OFFSET(AE21,1,0,'Sprint 1'!TaskRows,1)))</f>
        <v/>
      </c>
      <c r="AF17" s="24" t="str">
        <f ca="1">IF(AND(SUM(OFFSET(AF21,1,0,'Sprint 1'!TaskRows,1))=0),"",SUM(OFFSET(AF21,1,0,'Sprint 1'!TaskRows,1)))</f>
        <v/>
      </c>
    </row>
    <row r="18" spans="2:32" ht="12.75" hidden="1" customHeight="1" x14ac:dyDescent="0.2">
      <c r="C18" s="21" t="s">
        <v>12</v>
      </c>
      <c r="D18" s="1">
        <f>IF(COUNTA(C22:C249)=0,1,COUNTA(C22:C249))</f>
        <v>9</v>
      </c>
      <c r="E18" s="21" t="s">
        <v>13</v>
      </c>
      <c r="F18" s="1">
        <f ca="1">IF(COUNTIF(H17:AF17,"&gt;0")=0,1,COUNTIF(H17:AF17,"&gt;0"))</f>
        <v>4</v>
      </c>
      <c r="G18" s="1"/>
      <c r="H18" s="1">
        <f ca="1">IF(H21="","",$G17-$G17/($D16-1)*(H21-1))</f>
        <v>29</v>
      </c>
      <c r="I18" s="1">
        <f ca="1">IF(I21="","",'Sprint 1'!TotalEffort-'Sprint 1'!TotalEffort/('Sprint 1'!ImplementationDays)*(I21-1))</f>
        <v>27.473684210526315</v>
      </c>
      <c r="J18" s="1">
        <f ca="1">IF(J21="","",'Sprint 1'!TotalEffort-'Sprint 1'!TotalEffort/('Sprint 1'!ImplementationDays)*(J21-1))</f>
        <v>25.94736842105263</v>
      </c>
      <c r="K18" s="1">
        <f ca="1">IF(K21="","",'Sprint 1'!TotalEffort-'Sprint 1'!TotalEffort/('Sprint 1'!ImplementationDays)*(K21-1))</f>
        <v>24.421052631578945</v>
      </c>
      <c r="L18" s="1">
        <f ca="1">IF(L21="","",'Sprint 1'!TotalEffort-'Sprint 1'!TotalEffort/('Sprint 1'!ImplementationDays)*(L21-1))</f>
        <v>22.894736842105264</v>
      </c>
      <c r="M18" s="1">
        <f ca="1">IF(M21="","",'Sprint 1'!TotalEffort-'Sprint 1'!TotalEffort/('Sprint 1'!ImplementationDays)*(M21-1))</f>
        <v>21.368421052631579</v>
      </c>
      <c r="N18" s="1">
        <f ca="1">IF(N21="","",'Sprint 1'!TotalEffort-'Sprint 1'!TotalEffort/('Sprint 1'!ImplementationDays)*(N21-1))</f>
        <v>19.842105263157894</v>
      </c>
      <c r="O18" s="1">
        <f ca="1">IF(O21="","",'Sprint 1'!TotalEffort-'Sprint 1'!TotalEffort/('Sprint 1'!ImplementationDays)*(O21-1))</f>
        <v>18.315789473684212</v>
      </c>
      <c r="P18" s="1">
        <f ca="1">IF(P21="","",'Sprint 1'!TotalEffort-'Sprint 1'!TotalEffort/('Sprint 1'!ImplementationDays)*(P21-1))</f>
        <v>16.789473684210527</v>
      </c>
      <c r="Q18" s="1">
        <f ca="1">IF(Q21="","",'Sprint 1'!TotalEffort-'Sprint 1'!TotalEffort/('Sprint 1'!ImplementationDays)*(Q21-1))</f>
        <v>15.263157894736841</v>
      </c>
      <c r="R18" s="1">
        <f ca="1">IF(R21="","",'Sprint 1'!TotalEffort-'Sprint 1'!TotalEffort/('Sprint 1'!ImplementationDays)*(R21-1))</f>
        <v>13.736842105263158</v>
      </c>
      <c r="S18" s="1">
        <f ca="1">IF(S21="","",'Sprint 1'!TotalEffort-'Sprint 1'!TotalEffort/('Sprint 1'!ImplementationDays)*(S21-1))</f>
        <v>12.210526315789473</v>
      </c>
      <c r="T18" s="1">
        <f ca="1">IF(T21="","",'Sprint 1'!TotalEffort-'Sprint 1'!TotalEffort/('Sprint 1'!ImplementationDays)*(T21-1))</f>
        <v>10.684210526315788</v>
      </c>
      <c r="U18" s="1">
        <f ca="1">IF(U21="","",'Sprint 1'!TotalEffort-'Sprint 1'!TotalEffort/('Sprint 1'!ImplementationDays)*(U21-1))</f>
        <v>9.1578947368421026</v>
      </c>
      <c r="V18" s="1">
        <f ca="1">IF(V21="","",'Sprint 1'!TotalEffort-'Sprint 1'!TotalEffort/('Sprint 1'!ImplementationDays)*(V21-1))</f>
        <v>7.6315789473684212</v>
      </c>
      <c r="W18" s="1">
        <f ca="1">IF(W21="","",'Sprint 1'!TotalEffort-'Sprint 1'!TotalEffort/('Sprint 1'!ImplementationDays)*(W21-1))</f>
        <v>6.1052631578947363</v>
      </c>
      <c r="X18" s="1">
        <f ca="1">IF(X21="","",'Sprint 1'!TotalEffort-'Sprint 1'!TotalEffort/('Sprint 1'!ImplementationDays)*(X21-1))</f>
        <v>4.5789473684210513</v>
      </c>
      <c r="Y18" s="1">
        <f ca="1">IF(Y21="","",'Sprint 1'!TotalEffort-'Sprint 1'!TotalEffort/('Sprint 1'!ImplementationDays)*(Y21-1))</f>
        <v>3.0526315789473664</v>
      </c>
      <c r="Z18" s="1">
        <f ca="1">IF(Z21="","",'Sprint 1'!TotalEffort-'Sprint 1'!TotalEffort/('Sprint 1'!ImplementationDays)*(Z21-1))</f>
        <v>1.5263157894736814</v>
      </c>
      <c r="AA18" s="1" t="str">
        <f>IF(AA21="","",'Sprint 1'!TotalEffort-'Sprint 1'!TotalEffort/('Sprint 1'!ImplementationDays)*(AA21-1))</f>
        <v/>
      </c>
      <c r="AB18" s="1" t="str">
        <f>IF(AB21="","",'Sprint 1'!TotalEffort-'Sprint 1'!TotalEffort/('Sprint 1'!ImplementationDays)*(AB21-1))</f>
        <v/>
      </c>
      <c r="AC18" s="1" t="str">
        <f>IF(AC21="","",'Sprint 1'!TotalEffort-'Sprint 1'!TotalEffort/('Sprint 1'!ImplementationDays)*(AC21-1))</f>
        <v/>
      </c>
      <c r="AD18" s="1" t="str">
        <f>IF(AD21="","",'Sprint 1'!TotalEffort-'Sprint 1'!TotalEffort/('Sprint 1'!ImplementationDays)*(AD21-1))</f>
        <v/>
      </c>
      <c r="AE18" s="1" t="str">
        <f>IF(AE21="","",'Sprint 1'!TotalEffort-'Sprint 1'!TotalEffort/('Sprint 1'!ImplementationDays)*(AE21-1))</f>
        <v/>
      </c>
      <c r="AF18" s="1" t="str">
        <f>IF(AF21="","",'Sprint 1'!TotalEffort-'Sprint 1'!TotalEffort/('Sprint 1'!ImplementationDays)*(AF21-1))</f>
        <v/>
      </c>
    </row>
    <row r="19" spans="2:32" ht="12.75" hidden="1" customHeight="1" x14ac:dyDescent="0.2">
      <c r="C19" s="25" t="s">
        <v>14</v>
      </c>
      <c r="E19" s="21" t="s">
        <v>15</v>
      </c>
      <c r="F19" s="1"/>
      <c r="G19" s="1"/>
      <c r="H19" s="1">
        <f t="array" aca="1" ref="H19" ca="1">IF(TREND(OFFSET($H17,0,'Sprint 1'!DoneDays-'Sprint 1'!TrendDays,1,'Sprint 1'!TrendDays),OFFSET($H20,0,'Sprint 1'!DoneDays-'Sprint 1'!TrendDays,1,'Sprint 1'!TrendDays),H20)&lt;0,"",TREND(OFFSET($H17,0,'Sprint 1'!DoneDays-'Sprint 1'!TrendDays,1,'Sprint 1'!TrendDays),OFFSET($H20,0,'Sprint 1'!DoneDays-'Sprint 1'!TrendDays,1,'Sprint 1'!TrendDays),H20))</f>
        <v>28.7</v>
      </c>
      <c r="I19" s="1">
        <f t="array" aca="1" ref="I19" ca="1">IF(TREND(OFFSET($H17,0,'Sprint 1'!DoneDays-'Sprint 1'!TrendDays,1,'Sprint 1'!TrendDays),OFFSET($H20,0,'Sprint 1'!DoneDays-'Sprint 1'!TrendDays,1,'Sprint 1'!TrendDays),I20)&lt;0,"",TREND(OFFSET($H17,0,'Sprint 1'!DoneDays-'Sprint 1'!TrendDays,1,'Sprint 1'!TrendDays),OFFSET($H20,0,'Sprint 1'!DoneDays-'Sprint 1'!TrendDays,1,'Sprint 1'!TrendDays),I20))</f>
        <v>22.4</v>
      </c>
      <c r="J19" s="1">
        <f t="array" aca="1" ref="J19" ca="1">IF(TREND(OFFSET($H17,0,'Sprint 1'!DoneDays-'Sprint 1'!TrendDays,1,'Sprint 1'!TrendDays),OFFSET($H20,0,'Sprint 1'!DoneDays-'Sprint 1'!TrendDays,1,'Sprint 1'!TrendDays),J20)&lt;0,"",TREND(OFFSET($H17,0,'Sprint 1'!DoneDays-'Sprint 1'!TrendDays,1,'Sprint 1'!TrendDays),OFFSET($H20,0,'Sprint 1'!DoneDays-'Sprint 1'!TrendDays,1,'Sprint 1'!TrendDays),J20))</f>
        <v>16.099999999999998</v>
      </c>
      <c r="K19" s="1">
        <f t="array" aca="1" ref="K19" ca="1">IF(TREND(OFFSET($H17,0,'Sprint 1'!DoneDays-'Sprint 1'!TrendDays,1,'Sprint 1'!TrendDays),OFFSET($H20,0,'Sprint 1'!DoneDays-'Sprint 1'!TrendDays,1,'Sprint 1'!TrendDays),K20)&lt;0,"",TREND(OFFSET($H17,0,'Sprint 1'!DoneDays-'Sprint 1'!TrendDays,1,'Sprint 1'!TrendDays),OFFSET($H20,0,'Sprint 1'!DoneDays-'Sprint 1'!TrendDays,1,'Sprint 1'!TrendDays),K20))</f>
        <v>9.7999999999999972</v>
      </c>
      <c r="L19" s="1">
        <f t="array" aca="1" ref="L19" ca="1">IF(TREND(OFFSET($H17,0,'Sprint 1'!DoneDays-'Sprint 1'!TrendDays,1,'Sprint 1'!TrendDays),OFFSET($H20,0,'Sprint 1'!DoneDays-'Sprint 1'!TrendDays,1,'Sprint 1'!TrendDays),L20)&lt;0,"",TREND(OFFSET($H17,0,'Sprint 1'!DoneDays-'Sprint 1'!TrendDays,1,'Sprint 1'!TrendDays),OFFSET($H20,0,'Sprint 1'!DoneDays-'Sprint 1'!TrendDays,1,'Sprint 1'!TrendDays),L20))</f>
        <v>3.4999999999999964</v>
      </c>
      <c r="M19" s="1" t="str">
        <f t="array" aca="1" ref="M19" ca="1">IF(TREND(OFFSET($H17,0,'Sprint 1'!DoneDays-'Sprint 1'!TrendDays,1,'Sprint 1'!TrendDays),OFFSET($H20,0,'Sprint 1'!DoneDays-'Sprint 1'!TrendDays,1,'Sprint 1'!TrendDays),M20)&lt;0,"",TREND(OFFSET($H17,0,'Sprint 1'!DoneDays-'Sprint 1'!TrendDays,1,'Sprint 1'!TrendDays),OFFSET($H20,0,'Sprint 1'!DoneDays-'Sprint 1'!TrendDays,1,'Sprint 1'!TrendDays),M20))</f>
        <v/>
      </c>
      <c r="N19" s="1" t="str">
        <f t="array" aca="1" ref="N19" ca="1">IF(TREND(OFFSET($H17,0,'Sprint 1'!DoneDays-'Sprint 1'!TrendDays,1,'Sprint 1'!TrendDays),OFFSET($H20,0,'Sprint 1'!DoneDays-'Sprint 1'!TrendDays,1,'Sprint 1'!TrendDays),N20)&lt;0,"",TREND(OFFSET($H17,0,'Sprint 1'!DoneDays-'Sprint 1'!TrendDays,1,'Sprint 1'!TrendDays),OFFSET($H20,0,'Sprint 1'!DoneDays-'Sprint 1'!TrendDays,1,'Sprint 1'!TrendDays),N20))</f>
        <v/>
      </c>
      <c r="O19" s="1" t="str">
        <f t="array" aca="1" ref="O19" ca="1">IF(TREND(OFFSET($H17,0,'Sprint 1'!DoneDays-'Sprint 1'!TrendDays,1,'Sprint 1'!TrendDays),OFFSET($H20,0,'Sprint 1'!DoneDays-'Sprint 1'!TrendDays,1,'Sprint 1'!TrendDays),O20)&lt;0,"",TREND(OFFSET($H17,0,'Sprint 1'!DoneDays-'Sprint 1'!TrendDays,1,'Sprint 1'!TrendDays),OFFSET($H20,0,'Sprint 1'!DoneDays-'Sprint 1'!TrendDays,1,'Sprint 1'!TrendDays),O20))</f>
        <v/>
      </c>
      <c r="P19" s="1" t="str">
        <f t="array" aca="1" ref="P19" ca="1">IF(TREND(OFFSET($H17,0,'Sprint 1'!DoneDays-'Sprint 1'!TrendDays,1,'Sprint 1'!TrendDays),OFFSET($H20,0,'Sprint 1'!DoneDays-'Sprint 1'!TrendDays,1,'Sprint 1'!TrendDays),P20)&lt;0,"",TREND(OFFSET($H17,0,'Sprint 1'!DoneDays-'Sprint 1'!TrendDays,1,'Sprint 1'!TrendDays),OFFSET($H20,0,'Sprint 1'!DoneDays-'Sprint 1'!TrendDays,1,'Sprint 1'!TrendDays),P20))</f>
        <v/>
      </c>
      <c r="Q19" s="1" t="str">
        <f t="array" aca="1" ref="Q19" ca="1">IF(TREND(OFFSET($H17,0,'Sprint 1'!DoneDays-'Sprint 1'!TrendDays,1,'Sprint 1'!TrendDays),OFFSET($H20,0,'Sprint 1'!DoneDays-'Sprint 1'!TrendDays,1,'Sprint 1'!TrendDays),Q20)&lt;0,"",TREND(OFFSET($H17,0,'Sprint 1'!DoneDays-'Sprint 1'!TrendDays,1,'Sprint 1'!TrendDays),OFFSET($H20,0,'Sprint 1'!DoneDays-'Sprint 1'!TrendDays,1,'Sprint 1'!TrendDays),Q20))</f>
        <v/>
      </c>
      <c r="R19" s="1" t="str">
        <f t="array" aca="1" ref="R19" ca="1">IF(TREND(OFFSET($H17,0,'Sprint 1'!DoneDays-'Sprint 1'!TrendDays,1,'Sprint 1'!TrendDays),OFFSET($H20,0,'Sprint 1'!DoneDays-'Sprint 1'!TrendDays,1,'Sprint 1'!TrendDays),R20)&lt;0,"",TREND(OFFSET($H17,0,'Sprint 1'!DoneDays-'Sprint 1'!TrendDays,1,'Sprint 1'!TrendDays),OFFSET($H20,0,'Sprint 1'!DoneDays-'Sprint 1'!TrendDays,1,'Sprint 1'!TrendDays),R20))</f>
        <v/>
      </c>
      <c r="S19" s="1" t="str">
        <f t="array" aca="1" ref="S19" ca="1">IF(TREND(OFFSET($H17,0,'Sprint 1'!DoneDays-'Sprint 1'!TrendDays,1,'Sprint 1'!TrendDays),OFFSET($H20,0,'Sprint 1'!DoneDays-'Sprint 1'!TrendDays,1,'Sprint 1'!TrendDays),S20)&lt;0,"",TREND(OFFSET($H17,0,'Sprint 1'!DoneDays-'Sprint 1'!TrendDays,1,'Sprint 1'!TrendDays),OFFSET($H20,0,'Sprint 1'!DoneDays-'Sprint 1'!TrendDays,1,'Sprint 1'!TrendDays),S20))</f>
        <v/>
      </c>
      <c r="T19" s="1" t="str">
        <f t="array" aca="1" ref="T19" ca="1">IF(TREND(OFFSET($H17,0,'Sprint 1'!DoneDays-'Sprint 1'!TrendDays,1,'Sprint 1'!TrendDays),OFFSET($H20,0,'Sprint 1'!DoneDays-'Sprint 1'!TrendDays,1,'Sprint 1'!TrendDays),T20)&lt;0,"",TREND(OFFSET($H17,0,'Sprint 1'!DoneDays-'Sprint 1'!TrendDays,1,'Sprint 1'!TrendDays),OFFSET($H20,0,'Sprint 1'!DoneDays-'Sprint 1'!TrendDays,1,'Sprint 1'!TrendDays),T20))</f>
        <v/>
      </c>
      <c r="U19" s="1" t="str">
        <f t="array" aca="1" ref="U19" ca="1">IF(TREND(OFFSET($H17,0,'Sprint 1'!DoneDays-'Sprint 1'!TrendDays,1,'Sprint 1'!TrendDays),OFFSET($H20,0,'Sprint 1'!DoneDays-'Sprint 1'!TrendDays,1,'Sprint 1'!TrendDays),U20)&lt;0,"",TREND(OFFSET($H17,0,'Sprint 1'!DoneDays-'Sprint 1'!TrendDays,1,'Sprint 1'!TrendDays),OFFSET($H20,0,'Sprint 1'!DoneDays-'Sprint 1'!TrendDays,1,'Sprint 1'!TrendDays),U20))</f>
        <v/>
      </c>
      <c r="V19" s="1" t="str">
        <f t="array" aca="1" ref="V19" ca="1">IF(TREND(OFFSET($H17,0,'Sprint 1'!DoneDays-'Sprint 1'!TrendDays,1,'Sprint 1'!TrendDays),OFFSET($H20,0,'Sprint 1'!DoneDays-'Sprint 1'!TrendDays,1,'Sprint 1'!TrendDays),V20)&lt;0,"",TREND(OFFSET($H17,0,'Sprint 1'!DoneDays-'Sprint 1'!TrendDays,1,'Sprint 1'!TrendDays),OFFSET($H20,0,'Sprint 1'!DoneDays-'Sprint 1'!TrendDays,1,'Sprint 1'!TrendDays),V20))</f>
        <v/>
      </c>
      <c r="W19" s="1" t="str">
        <f t="array" aca="1" ref="W19" ca="1">IF(TREND(OFFSET($H17,0,'Sprint 1'!DoneDays-'Sprint 1'!TrendDays,1,'Sprint 1'!TrendDays),OFFSET($H20,0,'Sprint 1'!DoneDays-'Sprint 1'!TrendDays,1,'Sprint 1'!TrendDays),W20)&lt;0,"",TREND(OFFSET($H17,0,'Sprint 1'!DoneDays-'Sprint 1'!TrendDays,1,'Sprint 1'!TrendDays),OFFSET($H20,0,'Sprint 1'!DoneDays-'Sprint 1'!TrendDays,1,'Sprint 1'!TrendDays),W20))</f>
        <v/>
      </c>
      <c r="X19" s="1" t="str">
        <f t="array" aca="1" ref="X19" ca="1">IF(TREND(OFFSET($H17,0,'Sprint 1'!DoneDays-'Sprint 1'!TrendDays,1,'Sprint 1'!TrendDays),OFFSET($H20,0,'Sprint 1'!DoneDays-'Sprint 1'!TrendDays,1,'Sprint 1'!TrendDays),X20)&lt;0,"",TREND(OFFSET($H17,0,'Sprint 1'!DoneDays-'Sprint 1'!TrendDays,1,'Sprint 1'!TrendDays),OFFSET($H20,0,'Sprint 1'!DoneDays-'Sprint 1'!TrendDays,1,'Sprint 1'!TrendDays),X20))</f>
        <v/>
      </c>
      <c r="Y19" s="1" t="str">
        <f t="array" aca="1" ref="Y19" ca="1">IF(TREND(OFFSET($H17,0,'Sprint 1'!DoneDays-'Sprint 1'!TrendDays,1,'Sprint 1'!TrendDays),OFFSET($H20,0,'Sprint 1'!DoneDays-'Sprint 1'!TrendDays,1,'Sprint 1'!TrendDays),Y20)&lt;0,"",TREND(OFFSET($H17,0,'Sprint 1'!DoneDays-'Sprint 1'!TrendDays,1,'Sprint 1'!TrendDays),OFFSET($H20,0,'Sprint 1'!DoneDays-'Sprint 1'!TrendDays,1,'Sprint 1'!TrendDays),Y20))</f>
        <v/>
      </c>
      <c r="Z19" s="1" t="str">
        <f t="array" aca="1" ref="Z19" ca="1">IF(TREND(OFFSET($H17,0,'Sprint 1'!DoneDays-'Sprint 1'!TrendDays,1,'Sprint 1'!TrendDays),OFFSET($H20,0,'Sprint 1'!DoneDays-'Sprint 1'!TrendDays,1,'Sprint 1'!TrendDays),Z20)&lt;0,"",TREND(OFFSET($H17,0,'Sprint 1'!DoneDays-'Sprint 1'!TrendDays,1,'Sprint 1'!TrendDays),OFFSET($H20,0,'Sprint 1'!DoneDays-'Sprint 1'!TrendDays,1,'Sprint 1'!TrendDays),Z20))</f>
        <v/>
      </c>
      <c r="AA19" s="1" t="str">
        <f t="array" aca="1" ref="AA19" ca="1">IF(TREND(OFFSET($H17,0,'Sprint 1'!DoneDays-'Sprint 1'!TrendDays,1,'Sprint 1'!TrendDays),OFFSET($H20,0,'Sprint 1'!DoneDays-'Sprint 1'!TrendDays,1,'Sprint 1'!TrendDays),AA20)&lt;0,"",TREND(OFFSET($H17,0,'Sprint 1'!DoneDays-'Sprint 1'!TrendDays,1,'Sprint 1'!TrendDays),OFFSET($H20,0,'Sprint 1'!DoneDays-'Sprint 1'!TrendDays,1,'Sprint 1'!TrendDays),AA20))</f>
        <v/>
      </c>
      <c r="AB19" s="1" t="str">
        <f t="array" aca="1" ref="AB19" ca="1">IF(TREND(OFFSET($H17,0,'Sprint 1'!DoneDays-'Sprint 1'!TrendDays,1,'Sprint 1'!TrendDays),OFFSET($H20,0,'Sprint 1'!DoneDays-'Sprint 1'!TrendDays,1,'Sprint 1'!TrendDays),AB20)&lt;0,"",TREND(OFFSET($H17,0,'Sprint 1'!DoneDays-'Sprint 1'!TrendDays,1,'Sprint 1'!TrendDays),OFFSET($H20,0,'Sprint 1'!DoneDays-'Sprint 1'!TrendDays,1,'Sprint 1'!TrendDays),AB20))</f>
        <v/>
      </c>
      <c r="AC19" s="1" t="str">
        <f t="array" aca="1" ref="AC19" ca="1">IF(TREND(OFFSET($H17,0,'Sprint 1'!DoneDays-'Sprint 1'!TrendDays,1,'Sprint 1'!TrendDays),OFFSET($H20,0,'Sprint 1'!DoneDays-'Sprint 1'!TrendDays,1,'Sprint 1'!TrendDays),AC20)&lt;0,"",TREND(OFFSET($H17,0,'Sprint 1'!DoneDays-'Sprint 1'!TrendDays,1,'Sprint 1'!TrendDays),OFFSET($H20,0,'Sprint 1'!DoneDays-'Sprint 1'!TrendDays,1,'Sprint 1'!TrendDays),AC20))</f>
        <v/>
      </c>
      <c r="AD19" s="1" t="str">
        <f t="array" aca="1" ref="AD19" ca="1">IF(TREND(OFFSET($H17,0,'Sprint 1'!DoneDays-'Sprint 1'!TrendDays,1,'Sprint 1'!TrendDays),OFFSET($H20,0,'Sprint 1'!DoneDays-'Sprint 1'!TrendDays,1,'Sprint 1'!TrendDays),AD20)&lt;0,"",TREND(OFFSET($H17,0,'Sprint 1'!DoneDays-'Sprint 1'!TrendDays,1,'Sprint 1'!TrendDays),OFFSET($H20,0,'Sprint 1'!DoneDays-'Sprint 1'!TrendDays,1,'Sprint 1'!TrendDays),AD20))</f>
        <v/>
      </c>
      <c r="AE19" s="1" t="str">
        <f t="array" aca="1" ref="AE19" ca="1">IF(TREND(OFFSET($H17,0,'Sprint 1'!DoneDays-'Sprint 1'!TrendDays,1,'Sprint 1'!TrendDays),OFFSET($H20,0,'Sprint 1'!DoneDays-'Sprint 1'!TrendDays,1,'Sprint 1'!TrendDays),AE20)&lt;0,"",TREND(OFFSET($H17,0,'Sprint 1'!DoneDays-'Sprint 1'!TrendDays,1,'Sprint 1'!TrendDays),OFFSET($H20,0,'Sprint 1'!DoneDays-'Sprint 1'!TrendDays,1,'Sprint 1'!TrendDays),AE20))</f>
        <v/>
      </c>
      <c r="AF19" s="1" t="str">
        <f t="array" aca="1" ref="AF19" ca="1">IF(TREND(OFFSET($H17,0,'Sprint 1'!DoneDays-'Sprint 1'!TrendDays,1,'Sprint 1'!TrendDays),OFFSET($H20,0,'Sprint 1'!DoneDays-'Sprint 1'!TrendDays,1,'Sprint 1'!TrendDays),AF20)&lt;0,"",TREND(OFFSET($H17,0,'Sprint 1'!DoneDays-'Sprint 1'!TrendDays,1,'Sprint 1'!TrendDays),OFFSET($H20,0,'Sprint 1'!DoneDays-'Sprint 1'!TrendDays,1,'Sprint 1'!TrendDays),AF20))</f>
        <v/>
      </c>
    </row>
    <row r="20" spans="2:32" ht="12.75" hidden="1" customHeight="1" x14ac:dyDescent="0.2">
      <c r="C20" s="25" t="s">
        <v>16</v>
      </c>
      <c r="E20" s="21" t="s">
        <v>17</v>
      </c>
      <c r="F20" s="1">
        <f ca="1">IF('Sprint 1'!DoneDays&gt;D17,D17,'Sprint 1'!DoneDays)</f>
        <v>4</v>
      </c>
      <c r="G20" s="1"/>
      <c r="H20" s="1">
        <f ca="1">IF('Sprint 1'!DoneDays&gt;G20,G20+1,"")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ht="12.75" customHeight="1" x14ac:dyDescent="0.2">
      <c r="B21" s="22" t="s">
        <v>18</v>
      </c>
      <c r="C21" s="26" t="s">
        <v>19</v>
      </c>
      <c r="D21" s="26" t="s">
        <v>20</v>
      </c>
      <c r="E21" s="26" t="s">
        <v>21</v>
      </c>
      <c r="F21" s="26" t="s">
        <v>22</v>
      </c>
      <c r="G21" s="26" t="s">
        <v>23</v>
      </c>
      <c r="H21" s="26">
        <v>1</v>
      </c>
      <c r="I21" s="26">
        <f t="shared" ref="I21:AF21" si="0">IF($D$16&gt;H21,H21+1,"")</f>
        <v>2</v>
      </c>
      <c r="J21" s="26">
        <f t="shared" si="0"/>
        <v>3</v>
      </c>
      <c r="K21" s="26">
        <f t="shared" si="0"/>
        <v>4</v>
      </c>
      <c r="L21" s="26">
        <f t="shared" si="0"/>
        <v>5</v>
      </c>
      <c r="M21" s="26">
        <f t="shared" si="0"/>
        <v>6</v>
      </c>
      <c r="N21" s="26">
        <f t="shared" si="0"/>
        <v>7</v>
      </c>
      <c r="O21" s="26">
        <f t="shared" si="0"/>
        <v>8</v>
      </c>
      <c r="P21" s="26">
        <f t="shared" si="0"/>
        <v>9</v>
      </c>
      <c r="Q21" s="26">
        <f t="shared" si="0"/>
        <v>10</v>
      </c>
      <c r="R21" s="26">
        <f t="shared" si="0"/>
        <v>11</v>
      </c>
      <c r="S21" s="26">
        <f t="shared" si="0"/>
        <v>12</v>
      </c>
      <c r="T21" s="26">
        <f t="shared" si="0"/>
        <v>13</v>
      </c>
      <c r="U21" s="26">
        <f t="shared" si="0"/>
        <v>14</v>
      </c>
      <c r="V21" s="26">
        <f t="shared" si="0"/>
        <v>15</v>
      </c>
      <c r="W21" s="26">
        <f t="shared" si="0"/>
        <v>16</v>
      </c>
      <c r="X21" s="26">
        <f t="shared" si="0"/>
        <v>17</v>
      </c>
      <c r="Y21" s="26">
        <f t="shared" si="0"/>
        <v>18</v>
      </c>
      <c r="Z21" s="26">
        <f t="shared" si="0"/>
        <v>19</v>
      </c>
      <c r="AA21" s="26" t="str">
        <f t="shared" si="0"/>
        <v/>
      </c>
      <c r="AB21" s="26" t="str">
        <f t="shared" si="0"/>
        <v/>
      </c>
      <c r="AC21" s="26" t="str">
        <f t="shared" si="0"/>
        <v/>
      </c>
      <c r="AD21" s="26" t="str">
        <f t="shared" si="0"/>
        <v/>
      </c>
      <c r="AE21" s="26" t="str">
        <f t="shared" si="0"/>
        <v/>
      </c>
      <c r="AF21" s="26" t="str">
        <f t="shared" si="0"/>
        <v/>
      </c>
    </row>
    <row r="22" spans="2:32" ht="12.75" customHeight="1" x14ac:dyDescent="0.25">
      <c r="B22" s="21">
        <v>1.1000000000000001</v>
      </c>
      <c r="C22" s="27" t="s">
        <v>24</v>
      </c>
      <c r="D22" s="1" t="s">
        <v>25</v>
      </c>
      <c r="E22" s="21" t="s">
        <v>26</v>
      </c>
      <c r="F22" s="21" t="s">
        <v>46</v>
      </c>
      <c r="G22" s="28">
        <v>4</v>
      </c>
      <c r="H22" s="28">
        <v>4</v>
      </c>
      <c r="I22" s="28">
        <v>3</v>
      </c>
      <c r="J22" s="28">
        <v>2</v>
      </c>
      <c r="K22" s="28">
        <v>1</v>
      </c>
      <c r="L22" s="28">
        <v>0</v>
      </c>
      <c r="M22" s="2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1">IF(OR(AE$21="",$G22=""),"",AD22)</f>
        <v/>
      </c>
      <c r="AF22" s="1" t="str">
        <f t="shared" si="1"/>
        <v/>
      </c>
    </row>
    <row r="23" spans="2:32" ht="12.75" customHeight="1" x14ac:dyDescent="0.25">
      <c r="B23" s="21">
        <v>1.2</v>
      </c>
      <c r="C23" s="27" t="s">
        <v>28</v>
      </c>
      <c r="D23" s="1" t="s">
        <v>25</v>
      </c>
      <c r="E23" s="21" t="s">
        <v>26</v>
      </c>
      <c r="F23" s="21" t="s">
        <v>46</v>
      </c>
      <c r="G23" s="28">
        <v>3</v>
      </c>
      <c r="H23" s="28">
        <v>3</v>
      </c>
      <c r="I23" s="28">
        <v>2</v>
      </c>
      <c r="J23" s="28">
        <v>2</v>
      </c>
      <c r="K23" s="28">
        <v>1</v>
      </c>
      <c r="L23" s="28">
        <v>0</v>
      </c>
      <c r="M23" s="2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2">IF(OR(AE$21="",$G23=""),"",AD23)</f>
        <v/>
      </c>
      <c r="AF23" s="1" t="str">
        <f t="shared" si="2"/>
        <v/>
      </c>
    </row>
    <row r="24" spans="2:32" ht="12.75" customHeight="1" x14ac:dyDescent="0.25">
      <c r="B24" s="21">
        <v>1.3</v>
      </c>
      <c r="C24" s="27" t="s">
        <v>29</v>
      </c>
      <c r="D24" s="1" t="s">
        <v>25</v>
      </c>
      <c r="E24" s="21" t="s">
        <v>26</v>
      </c>
      <c r="F24" s="21" t="s">
        <v>46</v>
      </c>
      <c r="G24" s="28">
        <v>3</v>
      </c>
      <c r="H24" s="28">
        <v>3</v>
      </c>
      <c r="I24" s="28">
        <v>2</v>
      </c>
      <c r="J24" s="28">
        <v>1</v>
      </c>
      <c r="K24" s="28">
        <v>1</v>
      </c>
      <c r="L24" s="28">
        <v>0</v>
      </c>
      <c r="M24" s="2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3">IF(OR(AE$21="",$G24=""),"",AD24)</f>
        <v/>
      </c>
      <c r="AF24" s="1" t="str">
        <f t="shared" si="3"/>
        <v/>
      </c>
    </row>
    <row r="25" spans="2:32" ht="12.75" customHeight="1" x14ac:dyDescent="0.25">
      <c r="B25" s="21">
        <v>1.4</v>
      </c>
      <c r="C25" s="27" t="s">
        <v>30</v>
      </c>
      <c r="D25" s="1" t="s">
        <v>25</v>
      </c>
      <c r="E25" s="21" t="s">
        <v>31</v>
      </c>
      <c r="F25" s="21" t="s">
        <v>27</v>
      </c>
      <c r="G25" s="28">
        <v>3</v>
      </c>
      <c r="H25" s="28">
        <v>3</v>
      </c>
      <c r="I25" s="28">
        <v>3</v>
      </c>
      <c r="J25" s="28">
        <v>2</v>
      </c>
      <c r="K25" s="28">
        <v>1</v>
      </c>
      <c r="L25" s="28">
        <v>0</v>
      </c>
      <c r="M25" s="2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4">IF(OR(AE$21="",$G25=""),"",AD25)</f>
        <v/>
      </c>
      <c r="AF25" s="1" t="str">
        <f t="shared" si="4"/>
        <v/>
      </c>
    </row>
    <row r="26" spans="2:32" ht="12.75" customHeight="1" x14ac:dyDescent="0.25">
      <c r="B26" s="21">
        <v>2.1</v>
      </c>
      <c r="C26" s="27" t="s">
        <v>32</v>
      </c>
      <c r="D26" s="1" t="s">
        <v>33</v>
      </c>
      <c r="E26" s="21" t="s">
        <v>31</v>
      </c>
      <c r="F26" s="21" t="s">
        <v>27</v>
      </c>
      <c r="G26" s="28">
        <v>5</v>
      </c>
      <c r="H26" s="28">
        <v>5</v>
      </c>
      <c r="I26" s="28">
        <v>4</v>
      </c>
      <c r="J26" s="28">
        <v>3</v>
      </c>
      <c r="K26" s="28">
        <v>2</v>
      </c>
      <c r="L26" s="28">
        <v>0</v>
      </c>
      <c r="M26" s="2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5">IF(OR(AE$21="",$G26=""),"",AD26)</f>
        <v/>
      </c>
      <c r="AF26" s="1" t="str">
        <f t="shared" si="5"/>
        <v/>
      </c>
    </row>
    <row r="27" spans="2:32" ht="12.75" customHeight="1" x14ac:dyDescent="0.25">
      <c r="B27" s="21">
        <v>2.2000000000000002</v>
      </c>
      <c r="C27" s="27" t="s">
        <v>34</v>
      </c>
      <c r="D27" s="1" t="s">
        <v>33</v>
      </c>
      <c r="E27" s="21" t="s">
        <v>31</v>
      </c>
      <c r="F27" s="21" t="s">
        <v>27</v>
      </c>
      <c r="G27" s="28">
        <v>3</v>
      </c>
      <c r="H27" s="28">
        <v>3</v>
      </c>
      <c r="I27" s="28">
        <v>2</v>
      </c>
      <c r="J27" s="28">
        <v>2</v>
      </c>
      <c r="K27" s="28">
        <v>1</v>
      </c>
      <c r="L27" s="28">
        <v>0</v>
      </c>
      <c r="M27" s="2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6">IF(OR(AE$21="",$G27=""),"",AD27)</f>
        <v/>
      </c>
      <c r="AF27" s="1" t="str">
        <f t="shared" si="6"/>
        <v/>
      </c>
    </row>
    <row r="28" spans="2:32" ht="12.75" customHeight="1" x14ac:dyDescent="0.25">
      <c r="B28" s="21">
        <v>3.1</v>
      </c>
      <c r="C28" s="27" t="s">
        <v>35</v>
      </c>
      <c r="D28" s="1" t="s">
        <v>36</v>
      </c>
      <c r="E28" s="21" t="s">
        <v>37</v>
      </c>
      <c r="F28" s="21" t="s">
        <v>38</v>
      </c>
      <c r="G28" s="28">
        <v>3</v>
      </c>
      <c r="H28" s="28">
        <v>3</v>
      </c>
      <c r="I28" s="28">
        <v>2</v>
      </c>
      <c r="J28" s="28">
        <v>2</v>
      </c>
      <c r="K28" s="28">
        <v>1</v>
      </c>
      <c r="L28" s="28">
        <v>0</v>
      </c>
      <c r="M28" s="2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7">IF(OR(AE$21="",$G28=""),"",AD28)</f>
        <v/>
      </c>
      <c r="AF28" s="1" t="str">
        <f t="shared" si="7"/>
        <v/>
      </c>
    </row>
    <row r="29" spans="2:32" ht="12.75" customHeight="1" x14ac:dyDescent="0.25">
      <c r="B29" s="21">
        <v>3.2</v>
      </c>
      <c r="C29" s="27" t="s">
        <v>39</v>
      </c>
      <c r="D29" s="1" t="s">
        <v>36</v>
      </c>
      <c r="E29" s="21" t="s">
        <v>37</v>
      </c>
      <c r="F29" s="21" t="s">
        <v>38</v>
      </c>
      <c r="G29" s="28">
        <v>3</v>
      </c>
      <c r="H29" s="28">
        <v>3</v>
      </c>
      <c r="I29" s="28">
        <v>2</v>
      </c>
      <c r="J29" s="28">
        <v>1</v>
      </c>
      <c r="K29" s="28">
        <v>1</v>
      </c>
      <c r="L29" s="28">
        <v>0</v>
      </c>
      <c r="M29" s="2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8">IF(OR(AE$21="",$G29=""),"",AD29)</f>
        <v/>
      </c>
      <c r="AF29" s="1" t="str">
        <f t="shared" si="8"/>
        <v/>
      </c>
    </row>
    <row r="30" spans="2:32" ht="12.75" customHeight="1" x14ac:dyDescent="0.25">
      <c r="B30" s="21">
        <v>3.3</v>
      </c>
      <c r="C30" s="27" t="s">
        <v>40</v>
      </c>
      <c r="D30" s="1" t="s">
        <v>36</v>
      </c>
      <c r="E30" s="21" t="s">
        <v>37</v>
      </c>
      <c r="F30" s="21" t="s">
        <v>38</v>
      </c>
      <c r="G30" s="28">
        <v>2</v>
      </c>
      <c r="H30" s="28">
        <v>2</v>
      </c>
      <c r="I30" s="28">
        <v>2</v>
      </c>
      <c r="J30" s="28">
        <v>1</v>
      </c>
      <c r="K30" s="28">
        <v>1</v>
      </c>
      <c r="L30" s="28">
        <v>0</v>
      </c>
      <c r="M30" s="2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9">IF(OR(AE$21="",$G30=""),"",AD30)</f>
        <v/>
      </c>
      <c r="AF30" s="1" t="str">
        <f t="shared" si="9"/>
        <v/>
      </c>
    </row>
    <row r="31" spans="2:32" ht="12.75" customHeight="1" x14ac:dyDescent="0.2">
      <c r="D31" s="1"/>
      <c r="F31" s="21" t="str">
        <f t="shared" ref="F31:F63" si="10">IF(C31&lt;&gt;"","Planned","")</f>
        <v/>
      </c>
      <c r="G31" s="1"/>
      <c r="H31" s="1" t="str">
        <f t="shared" ref="H31:H66" si="11">IF(OR(H$21="",$G31=""),"",G31)</f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2">IF(OR(AE$21="",$G31=""),"",AD31)</f>
        <v/>
      </c>
      <c r="AF31" s="1" t="str">
        <f t="shared" si="12"/>
        <v/>
      </c>
    </row>
    <row r="32" spans="2:32" ht="12.75" customHeight="1" x14ac:dyDescent="0.2">
      <c r="D32" s="1"/>
      <c r="F32" s="21" t="str">
        <f t="shared" si="10"/>
        <v/>
      </c>
      <c r="G32" s="1"/>
      <c r="H32" s="1" t="str">
        <f t="shared" si="11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3">IF(OR(AE$21="",$G32=""),"",AD32)</f>
        <v/>
      </c>
      <c r="AF32" s="1" t="str">
        <f t="shared" si="13"/>
        <v/>
      </c>
    </row>
    <row r="33" spans="4:32" ht="12.75" customHeight="1" x14ac:dyDescent="0.2">
      <c r="D33" s="1"/>
      <c r="F33" s="21" t="str">
        <f t="shared" si="10"/>
        <v/>
      </c>
      <c r="G33" s="1"/>
      <c r="H33" s="1" t="str">
        <f t="shared" si="11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4">IF(OR(AE$21="",$G33=""),"",AD33)</f>
        <v/>
      </c>
      <c r="AF33" s="1" t="str">
        <f t="shared" si="14"/>
        <v/>
      </c>
    </row>
    <row r="34" spans="4:32" ht="12.75" customHeight="1" x14ac:dyDescent="0.2">
      <c r="D34" s="1"/>
      <c r="F34" s="21" t="str">
        <f t="shared" si="10"/>
        <v/>
      </c>
      <c r="G34" s="1"/>
      <c r="H34" s="1" t="str">
        <f t="shared" si="11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5">IF(OR(AE$21="",$G34=""),"",AD34)</f>
        <v/>
      </c>
      <c r="AF34" s="1" t="str">
        <f t="shared" si="15"/>
        <v/>
      </c>
    </row>
    <row r="35" spans="4:32" ht="12.75" customHeight="1" x14ac:dyDescent="0.2">
      <c r="D35" s="1"/>
      <c r="F35" s="21" t="str">
        <f t="shared" si="10"/>
        <v/>
      </c>
      <c r="G35" s="1"/>
      <c r="H35" s="1" t="str">
        <f t="shared" si="11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6">IF(OR(AE$21="",$G35=""),"",AD35)</f>
        <v/>
      </c>
      <c r="AF35" s="1" t="str">
        <f t="shared" si="16"/>
        <v/>
      </c>
    </row>
    <row r="36" spans="4:32" ht="12.75" customHeight="1" x14ac:dyDescent="0.2">
      <c r="D36" s="1"/>
      <c r="F36" s="21" t="str">
        <f t="shared" si="10"/>
        <v/>
      </c>
      <c r="G36" s="1"/>
      <c r="H36" s="1" t="str">
        <f t="shared" si="11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7">IF(OR(AE$21="",$G36=""),"",AD36)</f>
        <v/>
      </c>
      <c r="AF36" s="1" t="str">
        <f t="shared" si="17"/>
        <v/>
      </c>
    </row>
    <row r="37" spans="4:32" ht="12.75" customHeight="1" x14ac:dyDescent="0.2">
      <c r="D37" s="1"/>
      <c r="F37" s="21" t="str">
        <f t="shared" si="10"/>
        <v/>
      </c>
      <c r="G37" s="1"/>
      <c r="H37" s="1" t="str">
        <f t="shared" si="11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8">IF(OR(AE$21="",$G37=""),"",AD37)</f>
        <v/>
      </c>
      <c r="AF37" s="1" t="str">
        <f t="shared" si="18"/>
        <v/>
      </c>
    </row>
    <row r="38" spans="4:32" ht="12.75" customHeight="1" x14ac:dyDescent="0.2">
      <c r="D38" s="1"/>
      <c r="F38" s="21" t="str">
        <f t="shared" si="10"/>
        <v/>
      </c>
      <c r="G38" s="1"/>
      <c r="H38" s="1" t="str">
        <f t="shared" si="11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19">IF(OR(AE$21="",$G38=""),"",AD38)</f>
        <v/>
      </c>
      <c r="AF38" s="1" t="str">
        <f t="shared" si="19"/>
        <v/>
      </c>
    </row>
    <row r="39" spans="4:32" ht="12.75" customHeight="1" x14ac:dyDescent="0.2">
      <c r="D39" s="1"/>
      <c r="F39" s="21" t="str">
        <f t="shared" si="10"/>
        <v/>
      </c>
      <c r="G39" s="1"/>
      <c r="H39" s="1" t="str">
        <f t="shared" si="11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0">IF(OR(AE$21="",$G39=""),"",AD39)</f>
        <v/>
      </c>
      <c r="AF39" s="1" t="str">
        <f t="shared" si="20"/>
        <v/>
      </c>
    </row>
    <row r="40" spans="4:32" ht="12.75" customHeight="1" x14ac:dyDescent="0.2">
      <c r="D40" s="1"/>
      <c r="F40" s="21" t="str">
        <f t="shared" si="10"/>
        <v/>
      </c>
      <c r="G40" s="1"/>
      <c r="H40" s="1" t="str">
        <f t="shared" si="11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1">IF(OR(AE$21="",$G40=""),"",AD40)</f>
        <v/>
      </c>
      <c r="AF40" s="1" t="str">
        <f t="shared" si="21"/>
        <v/>
      </c>
    </row>
    <row r="41" spans="4:32" ht="12.75" customHeight="1" x14ac:dyDescent="0.2">
      <c r="D41" s="1"/>
      <c r="F41" s="21" t="str">
        <f t="shared" si="10"/>
        <v/>
      </c>
      <c r="G41" s="1"/>
      <c r="H41" s="1" t="str">
        <f t="shared" si="11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2">IF(OR(AE$21="",$G41=""),"",AD41)</f>
        <v/>
      </c>
      <c r="AF41" s="1" t="str">
        <f t="shared" si="22"/>
        <v/>
      </c>
    </row>
    <row r="42" spans="4:32" ht="12.75" customHeight="1" x14ac:dyDescent="0.2">
      <c r="D42" s="1"/>
      <c r="F42" s="21" t="str">
        <f t="shared" si="10"/>
        <v/>
      </c>
      <c r="G42" s="1"/>
      <c r="H42" s="1" t="str">
        <f t="shared" si="11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3">IF(OR(AE$21="",$G42=""),"",AD42)</f>
        <v/>
      </c>
      <c r="AF42" s="1" t="str">
        <f t="shared" si="23"/>
        <v/>
      </c>
    </row>
    <row r="43" spans="4:32" ht="12.75" customHeight="1" x14ac:dyDescent="0.2">
      <c r="D43" s="1"/>
      <c r="F43" s="21" t="str">
        <f t="shared" si="10"/>
        <v/>
      </c>
      <c r="G43" s="1"/>
      <c r="H43" s="1" t="str">
        <f t="shared" si="11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4">IF(OR(AE$21="",$G43=""),"",AD43)</f>
        <v/>
      </c>
      <c r="AF43" s="1" t="str">
        <f t="shared" si="24"/>
        <v/>
      </c>
    </row>
    <row r="44" spans="4:32" ht="12.75" customHeight="1" x14ac:dyDescent="0.2">
      <c r="D44" s="1"/>
      <c r="F44" s="21" t="str">
        <f t="shared" si="10"/>
        <v/>
      </c>
      <c r="G44" s="1"/>
      <c r="H44" s="1" t="str">
        <f t="shared" si="11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5">IF(OR(AE$21="",$G44=""),"",AD44)</f>
        <v/>
      </c>
      <c r="AF44" s="1" t="str">
        <f t="shared" si="25"/>
        <v/>
      </c>
    </row>
    <row r="45" spans="4:32" ht="12.75" customHeight="1" x14ac:dyDescent="0.2">
      <c r="D45" s="1"/>
      <c r="F45" s="21" t="str">
        <f t="shared" si="10"/>
        <v/>
      </c>
      <c r="G45" s="1"/>
      <c r="H45" s="1" t="str">
        <f t="shared" si="11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6">IF(OR(AE$21="",$G45=""),"",AD45)</f>
        <v/>
      </c>
      <c r="AF45" s="1" t="str">
        <f t="shared" si="26"/>
        <v/>
      </c>
    </row>
    <row r="46" spans="4:32" ht="12.75" customHeight="1" x14ac:dyDescent="0.2">
      <c r="D46" s="1"/>
      <c r="F46" s="21" t="str">
        <f t="shared" si="10"/>
        <v/>
      </c>
      <c r="G46" s="1"/>
      <c r="H46" s="1" t="str">
        <f t="shared" si="11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7">IF(OR(AE$21="",$G46=""),"",AD46)</f>
        <v/>
      </c>
      <c r="AF46" s="1" t="str">
        <f t="shared" si="27"/>
        <v/>
      </c>
    </row>
    <row r="47" spans="4:32" ht="12.75" customHeight="1" x14ac:dyDescent="0.2">
      <c r="D47" s="1"/>
      <c r="F47" s="21" t="str">
        <f t="shared" si="10"/>
        <v/>
      </c>
      <c r="G47" s="1"/>
      <c r="H47" s="1" t="str">
        <f t="shared" si="1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8">IF(OR(AE$21="",$G47=""),"",AD47)</f>
        <v/>
      </c>
      <c r="AF47" s="1" t="str">
        <f t="shared" si="28"/>
        <v/>
      </c>
    </row>
    <row r="48" spans="4:32" ht="12.75" customHeight="1" x14ac:dyDescent="0.2">
      <c r="D48" s="1"/>
      <c r="F48" s="21" t="str">
        <f t="shared" si="10"/>
        <v/>
      </c>
      <c r="G48" s="1"/>
      <c r="H48" s="1" t="str">
        <f t="shared" si="1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29">IF(OR(AE$21="",$G48=""),"",AD48)</f>
        <v/>
      </c>
      <c r="AF48" s="1" t="str">
        <f t="shared" si="29"/>
        <v/>
      </c>
    </row>
    <row r="49" spans="4:32" ht="12.75" customHeight="1" x14ac:dyDescent="0.2">
      <c r="D49" s="1"/>
      <c r="F49" s="21" t="str">
        <f t="shared" si="10"/>
        <v/>
      </c>
      <c r="G49" s="1"/>
      <c r="H49" s="1" t="str">
        <f t="shared" si="1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0">IF(OR(AE$21="",$G49=""),"",AD49)</f>
        <v/>
      </c>
      <c r="AF49" s="1" t="str">
        <f t="shared" si="30"/>
        <v/>
      </c>
    </row>
    <row r="50" spans="4:32" ht="12.75" customHeight="1" x14ac:dyDescent="0.2">
      <c r="D50" s="1"/>
      <c r="F50" s="21" t="str">
        <f t="shared" si="10"/>
        <v/>
      </c>
      <c r="G50" s="1"/>
      <c r="H50" s="1" t="str">
        <f t="shared" si="1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1">IF(OR(AE$21="",$G50=""),"",AD50)</f>
        <v/>
      </c>
      <c r="AF50" s="1" t="str">
        <f t="shared" si="31"/>
        <v/>
      </c>
    </row>
    <row r="51" spans="4:32" ht="12.75" customHeight="1" x14ac:dyDescent="0.2">
      <c r="D51" s="1"/>
      <c r="F51" s="21" t="str">
        <f t="shared" si="10"/>
        <v/>
      </c>
      <c r="G51" s="1"/>
      <c r="H51" s="1" t="str">
        <f t="shared" si="1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2">IF(OR(AE$21="",$G51=""),"",AD51)</f>
        <v/>
      </c>
      <c r="AF51" s="1" t="str">
        <f t="shared" si="32"/>
        <v/>
      </c>
    </row>
    <row r="52" spans="4:32" ht="12.75" customHeight="1" x14ac:dyDescent="0.2">
      <c r="D52" s="1"/>
      <c r="F52" s="21" t="str">
        <f t="shared" si="10"/>
        <v/>
      </c>
      <c r="G52" s="1"/>
      <c r="H52" s="1" t="str">
        <f t="shared" si="1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3">IF(OR(AE$21="",$G52=""),"",AD52)</f>
        <v/>
      </c>
      <c r="AF52" s="1" t="str">
        <f t="shared" si="33"/>
        <v/>
      </c>
    </row>
    <row r="53" spans="4:32" ht="12.75" customHeight="1" x14ac:dyDescent="0.2">
      <c r="D53" s="1"/>
      <c r="F53" s="21" t="str">
        <f t="shared" si="10"/>
        <v/>
      </c>
      <c r="G53" s="1"/>
      <c r="H53" s="1" t="str">
        <f t="shared" si="1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4">IF(OR(AE$21="",$G53=""),"",AD53)</f>
        <v/>
      </c>
      <c r="AF53" s="1" t="str">
        <f t="shared" si="34"/>
        <v/>
      </c>
    </row>
    <row r="54" spans="4:32" ht="12.75" customHeight="1" x14ac:dyDescent="0.2">
      <c r="D54" s="1"/>
      <c r="F54" s="21" t="str">
        <f t="shared" si="10"/>
        <v/>
      </c>
      <c r="G54" s="1"/>
      <c r="H54" s="1" t="str">
        <f t="shared" si="1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5">IF(OR(AE$21="",$G54=""),"",AD54)</f>
        <v/>
      </c>
      <c r="AF54" s="1" t="str">
        <f t="shared" si="35"/>
        <v/>
      </c>
    </row>
    <row r="55" spans="4:32" ht="12.75" customHeight="1" x14ac:dyDescent="0.2">
      <c r="D55" s="1"/>
      <c r="F55" s="21" t="str">
        <f t="shared" si="10"/>
        <v/>
      </c>
      <c r="G55" s="1"/>
      <c r="H55" s="1" t="str">
        <f t="shared" si="1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6">IF(OR(AE$21="",$G55=""),"",AD55)</f>
        <v/>
      </c>
      <c r="AF55" s="1" t="str">
        <f t="shared" si="36"/>
        <v/>
      </c>
    </row>
    <row r="56" spans="4:32" ht="12.75" customHeight="1" x14ac:dyDescent="0.2">
      <c r="D56" s="1"/>
      <c r="F56" s="21" t="str">
        <f t="shared" si="10"/>
        <v/>
      </c>
      <c r="G56" s="1"/>
      <c r="H56" s="1" t="str">
        <f t="shared" si="1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7">IF(OR(AE$21="",$G56=""),"",AD56)</f>
        <v/>
      </c>
      <c r="AF56" s="1" t="str">
        <f t="shared" si="37"/>
        <v/>
      </c>
    </row>
    <row r="57" spans="4:32" ht="12.75" customHeight="1" x14ac:dyDescent="0.2">
      <c r="D57" s="1"/>
      <c r="F57" s="21" t="str">
        <f t="shared" si="10"/>
        <v/>
      </c>
      <c r="G57" s="1"/>
      <c r="H57" s="1" t="str">
        <f t="shared" si="1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8">IF(OR(AE$21="",$G57=""),"",AD57)</f>
        <v/>
      </c>
      <c r="AF57" s="1" t="str">
        <f t="shared" si="38"/>
        <v/>
      </c>
    </row>
    <row r="58" spans="4:32" ht="12.75" customHeight="1" x14ac:dyDescent="0.2">
      <c r="D58" s="1"/>
      <c r="F58" s="21" t="str">
        <f t="shared" si="10"/>
        <v/>
      </c>
      <c r="G58" s="1"/>
      <c r="H58" s="1" t="str">
        <f t="shared" si="1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39">IF(OR(AE$21="",$G58=""),"",AD58)</f>
        <v/>
      </c>
      <c r="AF58" s="1" t="str">
        <f t="shared" si="39"/>
        <v/>
      </c>
    </row>
    <row r="59" spans="4:32" ht="12.75" customHeight="1" x14ac:dyDescent="0.2">
      <c r="D59" s="1"/>
      <c r="F59" s="21" t="str">
        <f t="shared" si="10"/>
        <v/>
      </c>
      <c r="G59" s="1"/>
      <c r="H59" s="1" t="str">
        <f t="shared" si="1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0">IF(OR(AE$21="",$G59=""),"",AD59)</f>
        <v/>
      </c>
      <c r="AF59" s="1" t="str">
        <f t="shared" si="40"/>
        <v/>
      </c>
    </row>
    <row r="60" spans="4:32" ht="12.75" customHeight="1" x14ac:dyDescent="0.2">
      <c r="D60" s="1"/>
      <c r="F60" s="21" t="str">
        <f t="shared" si="10"/>
        <v/>
      </c>
      <c r="G60" s="1"/>
      <c r="H60" s="1" t="str">
        <f t="shared" si="1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1">IF(OR(AE$21="",$G60=""),"",AD60)</f>
        <v/>
      </c>
      <c r="AF60" s="1" t="str">
        <f t="shared" si="41"/>
        <v/>
      </c>
    </row>
    <row r="61" spans="4:32" ht="12.75" customHeight="1" x14ac:dyDescent="0.2">
      <c r="D61" s="1"/>
      <c r="F61" s="21" t="str">
        <f t="shared" si="10"/>
        <v/>
      </c>
      <c r="G61" s="1"/>
      <c r="H61" s="1" t="str">
        <f t="shared" si="1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2">IF(OR(AE$21="",$G61=""),"",AD61)</f>
        <v/>
      </c>
      <c r="AF61" s="1" t="str">
        <f t="shared" si="42"/>
        <v/>
      </c>
    </row>
    <row r="62" spans="4:32" ht="12.75" customHeight="1" x14ac:dyDescent="0.2">
      <c r="D62" s="1"/>
      <c r="F62" s="21" t="str">
        <f t="shared" si="10"/>
        <v/>
      </c>
      <c r="G62" s="1"/>
      <c r="H62" s="1" t="str">
        <f t="shared" si="11"/>
        <v/>
      </c>
      <c r="I62" s="1" t="str">
        <f t="shared" ref="I62:AF62" si="43">IF(OR(I$21="",$G62=""),"",H62)</f>
        <v/>
      </c>
      <c r="J62" s="1" t="str">
        <f t="shared" si="43"/>
        <v/>
      </c>
      <c r="K62" s="1" t="str">
        <f t="shared" si="43"/>
        <v/>
      </c>
      <c r="L62" s="1" t="str">
        <f t="shared" si="43"/>
        <v/>
      </c>
      <c r="M62" s="1" t="str">
        <f t="shared" si="43"/>
        <v/>
      </c>
      <c r="N62" s="1" t="str">
        <f t="shared" si="43"/>
        <v/>
      </c>
      <c r="O62" s="1" t="str">
        <f t="shared" si="43"/>
        <v/>
      </c>
      <c r="P62" s="1" t="str">
        <f t="shared" si="43"/>
        <v/>
      </c>
      <c r="Q62" s="1" t="str">
        <f t="shared" si="43"/>
        <v/>
      </c>
      <c r="R62" s="1" t="str">
        <f t="shared" si="43"/>
        <v/>
      </c>
      <c r="S62" s="1" t="str">
        <f t="shared" si="43"/>
        <v/>
      </c>
      <c r="T62" s="1" t="str">
        <f t="shared" si="43"/>
        <v/>
      </c>
      <c r="U62" s="1" t="str">
        <f t="shared" si="43"/>
        <v/>
      </c>
      <c r="V62" s="1" t="str">
        <f t="shared" si="43"/>
        <v/>
      </c>
      <c r="W62" s="1" t="str">
        <f t="shared" si="43"/>
        <v/>
      </c>
      <c r="X62" s="1" t="str">
        <f t="shared" si="43"/>
        <v/>
      </c>
      <c r="Y62" s="1" t="str">
        <f t="shared" si="43"/>
        <v/>
      </c>
      <c r="Z62" s="1" t="str">
        <f t="shared" si="43"/>
        <v/>
      </c>
      <c r="AA62" s="1" t="str">
        <f t="shared" si="43"/>
        <v/>
      </c>
      <c r="AB62" s="1" t="str">
        <f t="shared" si="43"/>
        <v/>
      </c>
      <c r="AC62" s="1" t="str">
        <f t="shared" si="43"/>
        <v/>
      </c>
      <c r="AD62" s="1" t="str">
        <f t="shared" si="43"/>
        <v/>
      </c>
      <c r="AE62" s="1" t="str">
        <f t="shared" si="43"/>
        <v/>
      </c>
      <c r="AF62" s="1" t="str">
        <f t="shared" si="43"/>
        <v/>
      </c>
    </row>
    <row r="63" spans="4:32" ht="12.75" customHeight="1" x14ac:dyDescent="0.2">
      <c r="D63" s="1"/>
      <c r="F63" s="21" t="str">
        <f t="shared" si="10"/>
        <v/>
      </c>
      <c r="G63" s="1"/>
      <c r="H63" s="1" t="str">
        <f t="shared" si="11"/>
        <v/>
      </c>
      <c r="I63" s="1" t="str">
        <f t="shared" ref="I63:AF63" si="44">IF(OR(I$21="",$G63=""),"",H63)</f>
        <v/>
      </c>
      <c r="J63" s="1" t="str">
        <f t="shared" si="44"/>
        <v/>
      </c>
      <c r="K63" s="1" t="str">
        <f t="shared" si="44"/>
        <v/>
      </c>
      <c r="L63" s="1" t="str">
        <f t="shared" si="44"/>
        <v/>
      </c>
      <c r="M63" s="1" t="str">
        <f t="shared" si="44"/>
        <v/>
      </c>
      <c r="N63" s="1" t="str">
        <f t="shared" si="44"/>
        <v/>
      </c>
      <c r="O63" s="1" t="str">
        <f t="shared" si="44"/>
        <v/>
      </c>
      <c r="P63" s="1" t="str">
        <f t="shared" si="44"/>
        <v/>
      </c>
      <c r="Q63" s="1" t="str">
        <f t="shared" si="44"/>
        <v/>
      </c>
      <c r="R63" s="1" t="str">
        <f t="shared" si="44"/>
        <v/>
      </c>
      <c r="S63" s="1" t="str">
        <f t="shared" si="44"/>
        <v/>
      </c>
      <c r="T63" s="1" t="str">
        <f t="shared" si="44"/>
        <v/>
      </c>
      <c r="U63" s="1" t="str">
        <f t="shared" si="44"/>
        <v/>
      </c>
      <c r="V63" s="1" t="str">
        <f t="shared" si="44"/>
        <v/>
      </c>
      <c r="W63" s="1" t="str">
        <f t="shared" si="44"/>
        <v/>
      </c>
      <c r="X63" s="1" t="str">
        <f t="shared" si="44"/>
        <v/>
      </c>
      <c r="Y63" s="1" t="str">
        <f t="shared" si="44"/>
        <v/>
      </c>
      <c r="Z63" s="1" t="str">
        <f t="shared" si="44"/>
        <v/>
      </c>
      <c r="AA63" s="1" t="str">
        <f t="shared" si="44"/>
        <v/>
      </c>
      <c r="AB63" s="1" t="str">
        <f t="shared" si="44"/>
        <v/>
      </c>
      <c r="AC63" s="1" t="str">
        <f t="shared" si="44"/>
        <v/>
      </c>
      <c r="AD63" s="1" t="str">
        <f t="shared" si="44"/>
        <v/>
      </c>
      <c r="AE63" s="1" t="str">
        <f t="shared" si="44"/>
        <v/>
      </c>
      <c r="AF63" s="1" t="str">
        <f t="shared" si="44"/>
        <v/>
      </c>
    </row>
    <row r="64" spans="4:32" ht="12.75" customHeight="1" x14ac:dyDescent="0.2">
      <c r="D64" s="1"/>
      <c r="F64" s="21" t="s">
        <v>41</v>
      </c>
      <c r="G64" s="1"/>
      <c r="H64" s="1" t="str">
        <f t="shared" si="1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5">IF(OR(AE$21="",$G64=""),"",AD64)</f>
        <v/>
      </c>
      <c r="AF64" s="1" t="str">
        <f t="shared" si="45"/>
        <v/>
      </c>
    </row>
    <row r="65" spans="4:32" ht="12.75" customHeight="1" x14ac:dyDescent="0.2">
      <c r="D65" s="1"/>
      <c r="F65" s="21" t="s">
        <v>42</v>
      </c>
      <c r="G65" s="1"/>
      <c r="H65" s="1" t="str">
        <f t="shared" si="1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6">IF(OR(AE$21="",$G65=""),"",AD65)</f>
        <v/>
      </c>
      <c r="AF65" s="1" t="str">
        <f t="shared" si="46"/>
        <v/>
      </c>
    </row>
    <row r="66" spans="4:32" ht="12.75" customHeight="1" x14ac:dyDescent="0.2">
      <c r="D66" s="1"/>
      <c r="F66" s="21" t="s">
        <v>43</v>
      </c>
      <c r="G66" s="1"/>
      <c r="H66" s="1" t="str">
        <f t="shared" si="1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4:32" ht="12.75" customHeight="1" x14ac:dyDescent="0.2">
      <c r="D67" s="1"/>
      <c r="F67" s="2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4:32" ht="12.75" customHeight="1" x14ac:dyDescent="0.2">
      <c r="D68" s="1"/>
      <c r="F68" s="2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4:32" ht="12.75" customHeight="1" x14ac:dyDescent="0.2">
      <c r="D69" s="1"/>
      <c r="F69" s="2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4:32" ht="12.75" customHeight="1" x14ac:dyDescent="0.2">
      <c r="D70" s="1"/>
      <c r="F70" s="2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4:32" ht="12.75" customHeight="1" x14ac:dyDescent="0.2">
      <c r="D71" s="1"/>
      <c r="F71" s="21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4:32" ht="12.75" customHeight="1" x14ac:dyDescent="0.2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4:32" ht="12.75" customHeight="1" x14ac:dyDescent="0.2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4:32" ht="12.75" customHeight="1" x14ac:dyDescent="0.2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4:32" ht="12.75" customHeight="1" x14ac:dyDescent="0.2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4:32" ht="12.75" customHeight="1" x14ac:dyDescent="0.2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4:32" ht="12.75" customHeight="1" x14ac:dyDescent="0.2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4:32" ht="12.75" customHeight="1" x14ac:dyDescent="0.2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4:32" ht="12.75" customHeight="1" x14ac:dyDescent="0.2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4:32" ht="12.75" customHeight="1" x14ac:dyDescent="0.2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4:32" ht="12.75" customHeight="1" x14ac:dyDescent="0.2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4:32" ht="12.75" customHeight="1" x14ac:dyDescent="0.2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4:32" ht="12.75" customHeight="1" x14ac:dyDescent="0.2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4:32" ht="12.75" customHeight="1" x14ac:dyDescent="0.2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4:32" ht="12.75" customHeight="1" x14ac:dyDescent="0.2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4:32" ht="12.75" customHeight="1" x14ac:dyDescent="0.2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4:32" ht="12.75" customHeight="1" x14ac:dyDescent="0.2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4:32" ht="12.75" customHeight="1" x14ac:dyDescent="0.2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4:32" ht="12.75" customHeight="1" x14ac:dyDescent="0.2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4:32" ht="12.75" customHeight="1" x14ac:dyDescent="0.2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4:32" ht="12.75" customHeight="1" x14ac:dyDescent="0.2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4:32" ht="12.75" customHeight="1" x14ac:dyDescent="0.2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4:32" ht="12.75" customHeight="1" x14ac:dyDescent="0.2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4:32" ht="12.75" customHeight="1" x14ac:dyDescent="0.2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4:32" ht="12.75" customHeight="1" x14ac:dyDescent="0.2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4:32" ht="12.75" customHeight="1" x14ac:dyDescent="0.2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4:32" ht="12.75" customHeight="1" x14ac:dyDescent="0.2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4:32" ht="12.75" customHeight="1" x14ac:dyDescent="0.2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4:32" ht="12.75" customHeight="1" x14ac:dyDescent="0.2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4:32" ht="12.75" customHeight="1" x14ac:dyDescent="0.2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4:32" ht="12.75" customHeight="1" x14ac:dyDescent="0.2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4:32" ht="12.75" customHeight="1" x14ac:dyDescent="0.2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4:32" ht="12.75" customHeight="1" x14ac:dyDescent="0.2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4:32" ht="12.75" customHeight="1" x14ac:dyDescent="0.2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4:32" ht="12.75" customHeight="1" x14ac:dyDescent="0.2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4:32" ht="12.75" customHeight="1" x14ac:dyDescent="0.2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4:32" ht="12.75" customHeight="1" x14ac:dyDescent="0.2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4:32" ht="12.75" customHeight="1" x14ac:dyDescent="0.2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4:32" ht="12.75" customHeight="1" x14ac:dyDescent="0.2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4:32" ht="12.75" customHeight="1" x14ac:dyDescent="0.2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4:32" ht="12.75" customHeight="1" x14ac:dyDescent="0.2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4:32" ht="12.75" customHeight="1" x14ac:dyDescent="0.2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4:32" ht="12.75" customHeight="1" x14ac:dyDescent="0.2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4:32" ht="12.75" customHeight="1" x14ac:dyDescent="0.2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4:32" ht="12.75" customHeight="1" x14ac:dyDescent="0.2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4:32" ht="12.75" customHeight="1" x14ac:dyDescent="0.2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4:32" ht="12.75" customHeight="1" x14ac:dyDescent="0.2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4:32" ht="12.75" customHeight="1" x14ac:dyDescent="0.2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4:32" ht="12.75" customHeight="1" x14ac:dyDescent="0.2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4:32" ht="12.75" customHeight="1" x14ac:dyDescent="0.2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4:32" ht="12.75" customHeight="1" x14ac:dyDescent="0.2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4:32" ht="12.75" customHeight="1" x14ac:dyDescent="0.2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4:32" ht="12.75" customHeight="1" x14ac:dyDescent="0.2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4:32" ht="12.75" customHeight="1" x14ac:dyDescent="0.2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4:32" ht="12.75" customHeight="1" x14ac:dyDescent="0.2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4:32" ht="12.75" customHeight="1" x14ac:dyDescent="0.2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4:32" ht="12.75" customHeight="1" x14ac:dyDescent="0.2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4:32" ht="12.75" customHeight="1" x14ac:dyDescent="0.2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4:32" ht="12.75" customHeight="1" x14ac:dyDescent="0.2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4:32" ht="12.75" customHeight="1" x14ac:dyDescent="0.2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4:32" ht="12.75" customHeight="1" x14ac:dyDescent="0.2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4:32" ht="12.75" customHeight="1" x14ac:dyDescent="0.2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4:32" ht="12.75" customHeight="1" x14ac:dyDescent="0.2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4:32" ht="12.75" customHeight="1" x14ac:dyDescent="0.2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4:32" ht="12.75" customHeight="1" x14ac:dyDescent="0.2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4:32" ht="12.75" customHeight="1" x14ac:dyDescent="0.2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4:32" ht="12.75" customHeight="1" x14ac:dyDescent="0.2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4:32" ht="12.75" customHeight="1" x14ac:dyDescent="0.2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4:32" ht="12.75" customHeight="1" x14ac:dyDescent="0.2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4:32" ht="12.75" customHeight="1" x14ac:dyDescent="0.2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4:32" ht="12.75" customHeight="1" x14ac:dyDescent="0.2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4:32" ht="12.75" customHeight="1" x14ac:dyDescent="0.2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4:32" ht="12.75" customHeight="1" x14ac:dyDescent="0.2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4:32" ht="12.75" customHeight="1" x14ac:dyDescent="0.2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4:32" ht="12.75" customHeight="1" x14ac:dyDescent="0.2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4:32" ht="12.75" customHeight="1" x14ac:dyDescent="0.2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4:32" ht="12.75" customHeight="1" x14ac:dyDescent="0.2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4:32" ht="12.75" customHeight="1" x14ac:dyDescent="0.2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4:32" ht="12.75" customHeight="1" x14ac:dyDescent="0.2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4:32" ht="12.75" customHeight="1" x14ac:dyDescent="0.2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4:32" ht="12.75" customHeight="1" x14ac:dyDescent="0.2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4:32" ht="12.75" customHeight="1" x14ac:dyDescent="0.2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4:32" ht="12.75" customHeight="1" x14ac:dyDescent="0.2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4:32" ht="12.75" customHeight="1" x14ac:dyDescent="0.2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4:32" ht="12.75" customHeight="1" x14ac:dyDescent="0.2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4:32" ht="12.75" customHeight="1" x14ac:dyDescent="0.2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4:32" ht="12.75" customHeight="1" x14ac:dyDescent="0.2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4:32" ht="12.75" customHeight="1" x14ac:dyDescent="0.2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4:32" ht="12.75" customHeight="1" x14ac:dyDescent="0.2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4:32" ht="12.75" customHeight="1" x14ac:dyDescent="0.2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4:32" ht="12.75" customHeight="1" x14ac:dyDescent="0.2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4:32" ht="12.75" customHeight="1" x14ac:dyDescent="0.2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4:32" ht="12.75" customHeight="1" x14ac:dyDescent="0.2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4:32" ht="12.75" customHeight="1" x14ac:dyDescent="0.2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4:32" ht="12.75" customHeight="1" x14ac:dyDescent="0.2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4:32" ht="12.75" customHeight="1" x14ac:dyDescent="0.2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4:32" ht="12.75" customHeight="1" x14ac:dyDescent="0.2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4:32" ht="12.75" customHeight="1" x14ac:dyDescent="0.2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4:32" ht="12.75" customHeight="1" x14ac:dyDescent="0.2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4:32" ht="12.75" customHeight="1" x14ac:dyDescent="0.2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4:32" ht="12.75" customHeight="1" x14ac:dyDescent="0.2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4:32" ht="12.75" customHeight="1" x14ac:dyDescent="0.2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4:32" ht="12.75" customHeight="1" x14ac:dyDescent="0.2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4:32" ht="12.75" customHeight="1" x14ac:dyDescent="0.2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4:32" ht="12.75" customHeight="1" x14ac:dyDescent="0.2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4:32" ht="12.75" customHeight="1" x14ac:dyDescent="0.2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4:32" ht="12.75" customHeight="1" x14ac:dyDescent="0.2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4:32" ht="12.75" customHeight="1" x14ac:dyDescent="0.2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4:32" ht="12.75" customHeight="1" x14ac:dyDescent="0.2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4:32" ht="12.75" customHeight="1" x14ac:dyDescent="0.2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4:32" ht="12.75" customHeight="1" x14ac:dyDescent="0.2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4:32" ht="12.75" customHeight="1" x14ac:dyDescent="0.2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4:32" ht="12.75" customHeight="1" x14ac:dyDescent="0.2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4:32" ht="12.75" customHeight="1" x14ac:dyDescent="0.2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4:32" ht="12.75" customHeight="1" x14ac:dyDescent="0.2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4:32" ht="12.75" customHeight="1" x14ac:dyDescent="0.2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4:32" ht="12.75" customHeight="1" x14ac:dyDescent="0.2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4:32" ht="12.75" customHeight="1" x14ac:dyDescent="0.2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4:32" ht="12.75" customHeight="1" x14ac:dyDescent="0.2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4:32" ht="12.75" customHeight="1" x14ac:dyDescent="0.2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4:32" ht="12.75" customHeight="1" x14ac:dyDescent="0.2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4:32" ht="12.75" customHeight="1" x14ac:dyDescent="0.2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4:32" ht="12.75" customHeight="1" x14ac:dyDescent="0.2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4:32" ht="12.75" customHeight="1" x14ac:dyDescent="0.2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4:32" ht="12.75" customHeight="1" x14ac:dyDescent="0.2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4:32" ht="12.75" customHeight="1" x14ac:dyDescent="0.2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4:32" ht="12.75" customHeight="1" x14ac:dyDescent="0.2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4:32" ht="12.75" customHeight="1" x14ac:dyDescent="0.2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4:32" ht="12.75" customHeight="1" x14ac:dyDescent="0.2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4:32" ht="12.75" customHeight="1" x14ac:dyDescent="0.2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4:32" ht="12.75" customHeight="1" x14ac:dyDescent="0.2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4:32" ht="12.75" customHeight="1" x14ac:dyDescent="0.2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4:32" ht="12.75" customHeight="1" x14ac:dyDescent="0.2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4:32" ht="12.75" customHeight="1" x14ac:dyDescent="0.2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4:32" ht="12.75" customHeight="1" x14ac:dyDescent="0.2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4:32" ht="12.75" customHeight="1" x14ac:dyDescent="0.2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4:32" ht="12.75" customHeight="1" x14ac:dyDescent="0.2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4:32" ht="12.75" customHeight="1" x14ac:dyDescent="0.2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4:32" ht="12.75" customHeight="1" x14ac:dyDescent="0.2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4:32" ht="12.75" customHeight="1" x14ac:dyDescent="0.2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4:32" ht="12.75" customHeight="1" x14ac:dyDescent="0.2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4:32" ht="12.75" customHeight="1" x14ac:dyDescent="0.2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4:32" ht="12.75" customHeight="1" x14ac:dyDescent="0.2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4:32" ht="12.75" customHeight="1" x14ac:dyDescent="0.2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4:32" ht="12.75" customHeight="1" x14ac:dyDescent="0.2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4:32" ht="12.75" customHeight="1" x14ac:dyDescent="0.2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4:32" ht="12.75" customHeight="1" x14ac:dyDescent="0.2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4:32" ht="12.75" customHeight="1" x14ac:dyDescent="0.2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4:32" ht="12.75" customHeight="1" x14ac:dyDescent="0.2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4:32" ht="12.75" customHeight="1" x14ac:dyDescent="0.2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4:32" ht="12.75" customHeight="1" x14ac:dyDescent="0.2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4:32" ht="12.75" customHeight="1" x14ac:dyDescent="0.2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4:32" ht="12.75" customHeight="1" x14ac:dyDescent="0.2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4:32" ht="12.75" customHeight="1" x14ac:dyDescent="0.2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4:32" ht="12.75" customHeight="1" x14ac:dyDescent="0.2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4:32" ht="12.75" customHeight="1" x14ac:dyDescent="0.2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4:32" ht="12.75" customHeight="1" x14ac:dyDescent="0.2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4:32" ht="12.75" customHeight="1" x14ac:dyDescent="0.2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4:32" ht="12.75" customHeight="1" x14ac:dyDescent="0.2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4:32" ht="12.75" customHeight="1" x14ac:dyDescent="0.2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4:32" ht="12.75" customHeight="1" x14ac:dyDescent="0.2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4:32" ht="12.75" customHeight="1" x14ac:dyDescent="0.2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4:32" ht="12.75" customHeight="1" x14ac:dyDescent="0.2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4:32" ht="12.75" customHeight="1" x14ac:dyDescent="0.2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4:32" ht="12.75" customHeight="1" x14ac:dyDescent="0.2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4:32" ht="12.75" customHeight="1" x14ac:dyDescent="0.2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4:32" ht="12.75" customHeight="1" x14ac:dyDescent="0.2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4:32" ht="12.75" customHeight="1" x14ac:dyDescent="0.2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4:32" ht="12.75" customHeight="1" x14ac:dyDescent="0.2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4:32" ht="12.75" customHeight="1" x14ac:dyDescent="0.2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4:32" ht="12.75" customHeight="1" x14ac:dyDescent="0.2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4:32" ht="12.75" customHeight="1" x14ac:dyDescent="0.2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4:32" ht="12.75" customHeight="1" x14ac:dyDescent="0.2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4:32" ht="12.75" customHeight="1" x14ac:dyDescent="0.2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4:32" ht="12.75" customHeight="1" x14ac:dyDescent="0.2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4:32" ht="12.75" customHeight="1" x14ac:dyDescent="0.2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4:32" ht="12.75" customHeight="1" x14ac:dyDescent="0.2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4:32" ht="12.75" customHeight="1" x14ac:dyDescent="0.2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4:32" ht="12.75" customHeight="1" x14ac:dyDescent="0.2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4:32" ht="12.75" customHeight="1" x14ac:dyDescent="0.2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4:32" ht="12.75" customHeight="1" x14ac:dyDescent="0.2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4:32" ht="12.75" customHeight="1" x14ac:dyDescent="0.2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4:32" ht="12.75" customHeight="1" x14ac:dyDescent="0.2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4:32" ht="12.75" customHeight="1" x14ac:dyDescent="0.2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4:32" ht="12.75" customHeight="1" x14ac:dyDescent="0.2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4:32" ht="12.75" customHeight="1" x14ac:dyDescent="0.2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4:32" ht="12.75" customHeight="1" x14ac:dyDescent="0.2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4:32" ht="12.75" customHeight="1" x14ac:dyDescent="0.2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4:32" ht="12.75" customHeight="1" x14ac:dyDescent="0.2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4:32" ht="12.75" customHeight="1" x14ac:dyDescent="0.2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4:32" ht="12.75" customHeight="1" x14ac:dyDescent="0.2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4:32" ht="12.75" customHeight="1" x14ac:dyDescent="0.2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4:32" ht="12.75" customHeight="1" x14ac:dyDescent="0.2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4:32" ht="12.75" customHeight="1" x14ac:dyDescent="0.2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4:32" ht="12.75" customHeight="1" x14ac:dyDescent="0.2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4:32" ht="12.75" customHeight="1" x14ac:dyDescent="0.2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4:32" ht="12.75" customHeight="1" x14ac:dyDescent="0.2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4:32" ht="12.75" customHeight="1" x14ac:dyDescent="0.2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4:32" ht="12.75" customHeight="1" x14ac:dyDescent="0.2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4:32" ht="12.75" customHeight="1" x14ac:dyDescent="0.2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4:32" ht="12.75" customHeight="1" x14ac:dyDescent="0.2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4:32" ht="12.75" customHeight="1" x14ac:dyDescent="0.2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4:32" ht="12.75" customHeight="1" x14ac:dyDescent="0.2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4:32" ht="12.75" customHeight="1" x14ac:dyDescent="0.2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4:32" ht="12.75" customHeight="1" x14ac:dyDescent="0.2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4:32" ht="12.75" customHeight="1" x14ac:dyDescent="0.2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4:32" ht="12.75" customHeight="1" x14ac:dyDescent="0.2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4:32" ht="12.75" customHeight="1" x14ac:dyDescent="0.2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4:32" ht="12.75" customHeight="1" x14ac:dyDescent="0.2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4:32" ht="12.75" customHeight="1" x14ac:dyDescent="0.2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4:32" ht="12.75" customHeight="1" x14ac:dyDescent="0.2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4:32" ht="12.75" customHeight="1" x14ac:dyDescent="0.2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4:32" ht="12.75" customHeight="1" x14ac:dyDescent="0.2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4:32" ht="12.75" customHeight="1" x14ac:dyDescent="0.2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4:32" ht="12.75" customHeight="1" x14ac:dyDescent="0.2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4:32" ht="12.75" customHeight="1" x14ac:dyDescent="0.2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4:32" ht="12.75" customHeight="1" x14ac:dyDescent="0.2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4:32" ht="12.75" customHeight="1" x14ac:dyDescent="0.2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4:32" ht="12.75" customHeight="1" x14ac:dyDescent="0.2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4:32" ht="12.75" customHeight="1" x14ac:dyDescent="0.2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4:32" ht="12.75" customHeight="1" x14ac:dyDescent="0.2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4:32" ht="12.75" customHeight="1" x14ac:dyDescent="0.2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4:32" ht="12.75" customHeight="1" x14ac:dyDescent="0.2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4:32" ht="12.75" customHeight="1" x14ac:dyDescent="0.2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4:32" ht="12.75" customHeight="1" x14ac:dyDescent="0.2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4:32" ht="12.75" customHeight="1" x14ac:dyDescent="0.2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4:32" ht="12.75" customHeight="1" x14ac:dyDescent="0.2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4:32" ht="12.75" customHeight="1" x14ac:dyDescent="0.2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4:32" ht="12.75" customHeight="1" x14ac:dyDescent="0.2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4:32" ht="12.75" customHeight="1" x14ac:dyDescent="0.2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4:32" ht="12.75" customHeight="1" x14ac:dyDescent="0.2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4:32" ht="12.75" customHeight="1" x14ac:dyDescent="0.2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4:32" ht="12.75" customHeight="1" x14ac:dyDescent="0.2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4:32" ht="12.75" customHeight="1" x14ac:dyDescent="0.2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4:32" ht="12.75" customHeight="1" x14ac:dyDescent="0.2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4:32" ht="12.75" customHeight="1" x14ac:dyDescent="0.2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4:32" ht="12.75" customHeight="1" x14ac:dyDescent="0.2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4:32" ht="12.75" customHeight="1" x14ac:dyDescent="0.2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4:32" ht="12.75" customHeight="1" x14ac:dyDescent="0.2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4:32" ht="12.75" customHeight="1" x14ac:dyDescent="0.2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4:32" ht="12.75" customHeight="1" x14ac:dyDescent="0.2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4:32" ht="12.75" customHeight="1" x14ac:dyDescent="0.2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4:32" ht="12.75" customHeight="1" x14ac:dyDescent="0.2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4:32" ht="12.75" customHeight="1" x14ac:dyDescent="0.2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4:32" ht="12.75" customHeight="1" x14ac:dyDescent="0.2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4:32" ht="12.75" customHeight="1" x14ac:dyDescent="0.2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4:32" ht="12.75" customHeight="1" x14ac:dyDescent="0.2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4:32" ht="12.75" customHeight="1" x14ac:dyDescent="0.2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4:32" ht="12.75" customHeight="1" x14ac:dyDescent="0.2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4:32" ht="12.75" customHeight="1" x14ac:dyDescent="0.2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4:32" ht="12.75" customHeight="1" x14ac:dyDescent="0.2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4:32" ht="12.75" customHeight="1" x14ac:dyDescent="0.2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4:32" ht="12.75" customHeight="1" x14ac:dyDescent="0.2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4:32" ht="12.75" customHeight="1" x14ac:dyDescent="0.2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4:32" ht="12.75" customHeight="1" x14ac:dyDescent="0.2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4:32" ht="12.75" customHeight="1" x14ac:dyDescent="0.2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4:32" ht="12.75" customHeight="1" x14ac:dyDescent="0.2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4:32" ht="12.75" customHeight="1" x14ac:dyDescent="0.2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4:32" ht="12.75" customHeight="1" x14ac:dyDescent="0.2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4:32" ht="12.75" customHeight="1" x14ac:dyDescent="0.2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4:32" ht="12.75" customHeight="1" x14ac:dyDescent="0.2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4:32" ht="12.75" customHeight="1" x14ac:dyDescent="0.2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4:32" ht="12.75" customHeight="1" x14ac:dyDescent="0.2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4:32" ht="12.75" customHeight="1" x14ac:dyDescent="0.2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4:32" ht="12.75" customHeight="1" x14ac:dyDescent="0.2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4:32" ht="12.75" customHeight="1" x14ac:dyDescent="0.2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4:32" ht="12.75" customHeight="1" x14ac:dyDescent="0.2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4:32" ht="12.75" customHeight="1" x14ac:dyDescent="0.2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4:32" ht="12.75" customHeight="1" x14ac:dyDescent="0.2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4:32" ht="12.75" customHeight="1" x14ac:dyDescent="0.2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4:32" ht="12.75" customHeight="1" x14ac:dyDescent="0.2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4:32" ht="12.75" customHeight="1" x14ac:dyDescent="0.2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4:32" ht="12.75" customHeight="1" x14ac:dyDescent="0.2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4:32" ht="12.75" customHeight="1" x14ac:dyDescent="0.2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4:32" ht="12.75" customHeight="1" x14ac:dyDescent="0.2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4:32" ht="12.75" customHeight="1" x14ac:dyDescent="0.2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4:32" ht="12.75" customHeight="1" x14ac:dyDescent="0.2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4:32" ht="12.75" customHeight="1" x14ac:dyDescent="0.2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4:32" ht="12.75" customHeight="1" x14ac:dyDescent="0.2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4:32" ht="12.75" customHeight="1" x14ac:dyDescent="0.2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4:32" ht="12.75" customHeight="1" x14ac:dyDescent="0.2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4:32" ht="12.75" customHeight="1" x14ac:dyDescent="0.2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4:32" ht="12.75" customHeight="1" x14ac:dyDescent="0.2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4:32" ht="12.75" customHeight="1" x14ac:dyDescent="0.2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4:32" ht="12.75" customHeight="1" x14ac:dyDescent="0.2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4:32" ht="12.75" customHeight="1" x14ac:dyDescent="0.2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4:32" ht="12.75" customHeight="1" x14ac:dyDescent="0.2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4:32" ht="12.75" customHeight="1" x14ac:dyDescent="0.2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4:32" ht="12.75" customHeight="1" x14ac:dyDescent="0.2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4:32" ht="12.75" customHeight="1" x14ac:dyDescent="0.2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4:32" ht="12.75" customHeight="1" x14ac:dyDescent="0.2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4:32" ht="12.75" customHeight="1" x14ac:dyDescent="0.2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4:32" ht="12.75" customHeight="1" x14ac:dyDescent="0.2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4:32" ht="12.75" customHeight="1" x14ac:dyDescent="0.2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4:32" ht="12.75" customHeight="1" x14ac:dyDescent="0.2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4:32" ht="12.75" customHeight="1" x14ac:dyDescent="0.2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4:32" ht="12.75" customHeight="1" x14ac:dyDescent="0.2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4:32" ht="12.75" customHeight="1" x14ac:dyDescent="0.2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4:32" ht="12.75" customHeight="1" x14ac:dyDescent="0.2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4:32" ht="12.75" customHeight="1" x14ac:dyDescent="0.2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4:32" ht="12.75" customHeight="1" x14ac:dyDescent="0.2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4:32" ht="12.75" customHeight="1" x14ac:dyDescent="0.2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4:32" ht="12.75" customHeight="1" x14ac:dyDescent="0.2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4:32" ht="12.75" customHeight="1" x14ac:dyDescent="0.2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4:32" ht="12.75" customHeight="1" x14ac:dyDescent="0.2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4:32" ht="12.75" customHeight="1" x14ac:dyDescent="0.2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4:32" ht="12.75" customHeight="1" x14ac:dyDescent="0.2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4:32" ht="12.75" customHeight="1" x14ac:dyDescent="0.2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4:32" ht="12.75" customHeight="1" x14ac:dyDescent="0.2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4:32" ht="12.75" customHeight="1" x14ac:dyDescent="0.2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4:32" ht="12.75" customHeight="1" x14ac:dyDescent="0.2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4:32" ht="12.75" customHeight="1" x14ac:dyDescent="0.2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4:32" ht="12.75" customHeight="1" x14ac:dyDescent="0.2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4:32" ht="12.75" customHeight="1" x14ac:dyDescent="0.2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4:32" ht="12.75" customHeight="1" x14ac:dyDescent="0.2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4:32" ht="12.75" customHeight="1" x14ac:dyDescent="0.2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4:32" ht="12.75" customHeight="1" x14ac:dyDescent="0.2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4:32" ht="12.75" customHeight="1" x14ac:dyDescent="0.2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4:32" ht="12.75" customHeight="1" x14ac:dyDescent="0.2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4:32" ht="12.75" customHeight="1" x14ac:dyDescent="0.2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4:32" ht="12.75" customHeight="1" x14ac:dyDescent="0.2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4:32" ht="12.75" customHeight="1" x14ac:dyDescent="0.2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4:32" ht="12.75" customHeight="1" x14ac:dyDescent="0.2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4:32" ht="12.75" customHeight="1" x14ac:dyDescent="0.2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4:32" ht="12.75" customHeight="1" x14ac:dyDescent="0.2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4:32" ht="12.75" customHeight="1" x14ac:dyDescent="0.2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4:32" ht="12.75" customHeight="1" x14ac:dyDescent="0.2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4:32" ht="12.75" customHeight="1" x14ac:dyDescent="0.2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4:32" ht="12.75" customHeight="1" x14ac:dyDescent="0.2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4:32" ht="12.75" customHeight="1" x14ac:dyDescent="0.2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4:32" ht="12.75" customHeight="1" x14ac:dyDescent="0.2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4:32" ht="12.75" customHeight="1" x14ac:dyDescent="0.2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4:32" ht="12.75" customHeight="1" x14ac:dyDescent="0.2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4:32" ht="12.75" customHeight="1" x14ac:dyDescent="0.2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4:32" ht="12.75" customHeight="1" x14ac:dyDescent="0.2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4:32" ht="12.75" customHeight="1" x14ac:dyDescent="0.2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4:32" ht="12.75" customHeight="1" x14ac:dyDescent="0.2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4:32" ht="12.75" customHeight="1" x14ac:dyDescent="0.2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4:32" ht="12.75" customHeight="1" x14ac:dyDescent="0.2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4:32" ht="12.75" customHeight="1" x14ac:dyDescent="0.2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4:32" ht="12.75" customHeight="1" x14ac:dyDescent="0.2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4:32" ht="12.75" customHeight="1" x14ac:dyDescent="0.2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4:32" ht="12.75" customHeight="1" x14ac:dyDescent="0.2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4:32" ht="12.75" customHeight="1" x14ac:dyDescent="0.2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4:32" ht="12.75" customHeight="1" x14ac:dyDescent="0.2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4:32" ht="12.75" customHeight="1" x14ac:dyDescent="0.2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4:32" ht="12.75" customHeight="1" x14ac:dyDescent="0.2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4:32" ht="12.75" customHeight="1" x14ac:dyDescent="0.2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4:32" ht="12.75" customHeight="1" x14ac:dyDescent="0.2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4:32" ht="12.75" customHeight="1" x14ac:dyDescent="0.2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4:32" ht="12.75" customHeight="1" x14ac:dyDescent="0.2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4:32" ht="12.75" customHeight="1" x14ac:dyDescent="0.2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4:32" ht="12.75" customHeight="1" x14ac:dyDescent="0.2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4:32" ht="12.75" customHeight="1" x14ac:dyDescent="0.2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4:32" ht="12.75" customHeight="1" x14ac:dyDescent="0.2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4:32" ht="12.75" customHeight="1" x14ac:dyDescent="0.2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4:32" ht="12.75" customHeight="1" x14ac:dyDescent="0.2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4:32" ht="12.75" customHeight="1" x14ac:dyDescent="0.2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4:32" ht="12.75" customHeight="1" x14ac:dyDescent="0.2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4:32" ht="12.75" customHeight="1" x14ac:dyDescent="0.2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4:32" ht="12.75" customHeight="1" x14ac:dyDescent="0.2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4:32" ht="12.75" customHeight="1" x14ac:dyDescent="0.2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4:32" ht="12.75" customHeight="1" x14ac:dyDescent="0.2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4:32" ht="12.75" customHeight="1" x14ac:dyDescent="0.2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4:32" ht="12.75" customHeight="1" x14ac:dyDescent="0.2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4:32" ht="12.75" customHeight="1" x14ac:dyDescent="0.2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4:32" ht="12.75" customHeight="1" x14ac:dyDescent="0.2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4:32" ht="12.75" customHeight="1" x14ac:dyDescent="0.2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4:32" ht="12.75" customHeight="1" x14ac:dyDescent="0.2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4:32" ht="12.75" customHeight="1" x14ac:dyDescent="0.2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4:32" ht="12.75" customHeight="1" x14ac:dyDescent="0.2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4:32" ht="12.75" customHeight="1" x14ac:dyDescent="0.2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4:32" ht="12.75" customHeight="1" x14ac:dyDescent="0.2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4:32" ht="12.75" customHeight="1" x14ac:dyDescent="0.2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4:32" ht="12.75" customHeight="1" x14ac:dyDescent="0.2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4:32" ht="12.75" customHeight="1" x14ac:dyDescent="0.2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4:32" ht="12.75" customHeight="1" x14ac:dyDescent="0.2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4:32" ht="12.75" customHeight="1" x14ac:dyDescent="0.2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4:32" ht="12.75" customHeight="1" x14ac:dyDescent="0.2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4:32" ht="12.75" customHeight="1" x14ac:dyDescent="0.2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4:32" ht="12.75" customHeight="1" x14ac:dyDescent="0.2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4:32" ht="12.75" customHeight="1" x14ac:dyDescent="0.2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4:32" ht="12.75" customHeight="1" x14ac:dyDescent="0.2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4:32" ht="12.75" customHeight="1" x14ac:dyDescent="0.2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4:32" ht="12.75" customHeight="1" x14ac:dyDescent="0.2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4:32" ht="12.75" customHeight="1" x14ac:dyDescent="0.2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4:32" ht="12.75" customHeight="1" x14ac:dyDescent="0.2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4:32" ht="12.75" customHeight="1" x14ac:dyDescent="0.2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4:32" ht="12.75" customHeight="1" x14ac:dyDescent="0.2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4:32" ht="12.75" customHeight="1" x14ac:dyDescent="0.2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4:32" ht="12.75" customHeight="1" x14ac:dyDescent="0.2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4:32" ht="12.75" customHeight="1" x14ac:dyDescent="0.2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4:32" ht="12.75" customHeight="1" x14ac:dyDescent="0.2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4:32" ht="12.75" customHeight="1" x14ac:dyDescent="0.2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4:32" ht="12.75" customHeight="1" x14ac:dyDescent="0.2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4:32" ht="12.75" customHeight="1" x14ac:dyDescent="0.2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4:32" ht="12.75" customHeight="1" x14ac:dyDescent="0.2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4:32" ht="12.75" customHeight="1" x14ac:dyDescent="0.2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4:32" ht="12.75" customHeight="1" x14ac:dyDescent="0.2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4:32" ht="12.75" customHeight="1" x14ac:dyDescent="0.2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4:32" ht="12.75" customHeight="1" x14ac:dyDescent="0.2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4:32" ht="12.75" customHeight="1" x14ac:dyDescent="0.2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4:32" ht="12.75" customHeight="1" x14ac:dyDescent="0.2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4:32" ht="12.75" customHeight="1" x14ac:dyDescent="0.2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4:32" ht="12.75" customHeight="1" x14ac:dyDescent="0.2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4:32" ht="12.75" customHeight="1" x14ac:dyDescent="0.2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4:32" ht="12.75" customHeight="1" x14ac:dyDescent="0.2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4:32" ht="12.75" customHeight="1" x14ac:dyDescent="0.2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4:32" ht="12.75" customHeight="1" x14ac:dyDescent="0.2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4:32" ht="12.75" customHeight="1" x14ac:dyDescent="0.2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4:32" ht="12.75" customHeight="1" x14ac:dyDescent="0.2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4:32" ht="12.75" customHeight="1" x14ac:dyDescent="0.2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4:32" ht="12.75" customHeight="1" x14ac:dyDescent="0.2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4:32" ht="12.75" customHeight="1" x14ac:dyDescent="0.2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4:32" ht="12.75" customHeight="1" x14ac:dyDescent="0.2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4:32" ht="12.75" customHeight="1" x14ac:dyDescent="0.2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4:32" ht="12.75" customHeight="1" x14ac:dyDescent="0.2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4:32" ht="12.75" customHeight="1" x14ac:dyDescent="0.2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4:32" ht="12.75" customHeight="1" x14ac:dyDescent="0.2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4:32" ht="12.75" customHeight="1" x14ac:dyDescent="0.2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4:32" ht="12.75" customHeight="1" x14ac:dyDescent="0.2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4:32" ht="12.75" customHeight="1" x14ac:dyDescent="0.2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4:32" ht="12.75" customHeight="1" x14ac:dyDescent="0.2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4:32" ht="12.75" customHeight="1" x14ac:dyDescent="0.2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4:32" ht="12.75" customHeight="1" x14ac:dyDescent="0.2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4:32" ht="12.75" customHeight="1" x14ac:dyDescent="0.2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4:32" ht="12.75" customHeight="1" x14ac:dyDescent="0.2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4:32" ht="12.75" customHeight="1" x14ac:dyDescent="0.2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4:32" ht="12.75" customHeight="1" x14ac:dyDescent="0.2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4:32" ht="12.75" customHeight="1" x14ac:dyDescent="0.2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4:32" ht="12.75" customHeight="1" x14ac:dyDescent="0.2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4:32" ht="12.75" customHeight="1" x14ac:dyDescent="0.2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4:32" ht="12.75" customHeight="1" x14ac:dyDescent="0.2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4:32" ht="12.75" customHeight="1" x14ac:dyDescent="0.2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4:32" ht="12.75" customHeight="1" x14ac:dyDescent="0.2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4:32" ht="12.75" customHeight="1" x14ac:dyDescent="0.2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4:32" ht="12.75" customHeight="1" x14ac:dyDescent="0.2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4:32" ht="12.75" customHeight="1" x14ac:dyDescent="0.2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4:32" ht="12.75" customHeight="1" x14ac:dyDescent="0.2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4:32" ht="12.75" customHeight="1" x14ac:dyDescent="0.2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4:32" ht="12.75" customHeight="1" x14ac:dyDescent="0.2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4:32" ht="12.75" customHeight="1" x14ac:dyDescent="0.2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4:32" ht="12.75" customHeight="1" x14ac:dyDescent="0.2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4:32" ht="12.75" customHeight="1" x14ac:dyDescent="0.2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4:32" ht="12.75" customHeight="1" x14ac:dyDescent="0.2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4:32" ht="12.75" customHeight="1" x14ac:dyDescent="0.2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4:32" ht="12.75" customHeight="1" x14ac:dyDescent="0.2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4:32" ht="12.75" customHeight="1" x14ac:dyDescent="0.2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4:32" ht="12.75" customHeight="1" x14ac:dyDescent="0.2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4:32" ht="12.75" customHeight="1" x14ac:dyDescent="0.2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4:32" ht="12.75" customHeight="1" x14ac:dyDescent="0.2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4:32" ht="12.75" customHeight="1" x14ac:dyDescent="0.2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4:32" ht="12.75" customHeight="1" x14ac:dyDescent="0.2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4:32" ht="12.75" customHeight="1" x14ac:dyDescent="0.2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4:32" ht="12.75" customHeight="1" x14ac:dyDescent="0.2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4:32" ht="12.75" customHeight="1" x14ac:dyDescent="0.2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4:32" ht="12.75" customHeight="1" x14ac:dyDescent="0.2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4:32" ht="12.75" customHeight="1" x14ac:dyDescent="0.2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4:32" ht="12.75" customHeight="1" x14ac:dyDescent="0.2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4:32" ht="12.75" customHeight="1" x14ac:dyDescent="0.2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4:32" ht="12.75" customHeight="1" x14ac:dyDescent="0.2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4:32" ht="12.75" customHeight="1" x14ac:dyDescent="0.2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4:32" ht="12.75" customHeight="1" x14ac:dyDescent="0.2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4:32" ht="12.75" customHeight="1" x14ac:dyDescent="0.2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4:32" ht="12.75" customHeight="1" x14ac:dyDescent="0.2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4:32" ht="12.75" customHeight="1" x14ac:dyDescent="0.2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4:32" ht="12.75" customHeight="1" x14ac:dyDescent="0.2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4:32" ht="12.75" customHeight="1" x14ac:dyDescent="0.2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4:32" ht="12.75" customHeight="1" x14ac:dyDescent="0.2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4:32" ht="12.75" customHeight="1" x14ac:dyDescent="0.2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4:32" ht="12.75" customHeight="1" x14ac:dyDescent="0.2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4:32" ht="12.75" customHeight="1" x14ac:dyDescent="0.2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4:32" ht="12.75" customHeight="1" x14ac:dyDescent="0.2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4:32" ht="12.75" customHeight="1" x14ac:dyDescent="0.2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4:32" ht="12.75" customHeight="1" x14ac:dyDescent="0.2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4:32" ht="12.75" customHeight="1" x14ac:dyDescent="0.2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4:32" ht="12.75" customHeight="1" x14ac:dyDescent="0.2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4:32" ht="12.75" customHeight="1" x14ac:dyDescent="0.2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4:32" ht="12.75" customHeight="1" x14ac:dyDescent="0.2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4:32" ht="12.75" customHeight="1" x14ac:dyDescent="0.2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4:32" ht="12.75" customHeight="1" x14ac:dyDescent="0.2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4:32" ht="12.75" customHeight="1" x14ac:dyDescent="0.2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4:32" ht="12.75" customHeight="1" x14ac:dyDescent="0.2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4:32" ht="12.75" customHeight="1" x14ac:dyDescent="0.2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4:32" ht="12.75" customHeight="1" x14ac:dyDescent="0.2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4:32" ht="12.75" customHeight="1" x14ac:dyDescent="0.2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4:32" ht="12.75" customHeight="1" x14ac:dyDescent="0.2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4:32" ht="12.75" customHeight="1" x14ac:dyDescent="0.2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4:32" ht="12.75" customHeight="1" x14ac:dyDescent="0.2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4:32" ht="12.75" customHeight="1" x14ac:dyDescent="0.2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4:32" ht="12.75" customHeight="1" x14ac:dyDescent="0.2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4:32" ht="12.75" customHeight="1" x14ac:dyDescent="0.2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4:32" ht="12.75" customHeight="1" x14ac:dyDescent="0.2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4:32" ht="12.75" customHeight="1" x14ac:dyDescent="0.2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4:32" ht="12.75" customHeight="1" x14ac:dyDescent="0.2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4:32" ht="12.75" customHeight="1" x14ac:dyDescent="0.2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4:32" ht="12.75" customHeight="1" x14ac:dyDescent="0.2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4:32" ht="12.75" customHeight="1" x14ac:dyDescent="0.2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4:32" ht="12.75" customHeight="1" x14ac:dyDescent="0.2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4:32" ht="12.75" customHeight="1" x14ac:dyDescent="0.2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4:32" ht="12.75" customHeight="1" x14ac:dyDescent="0.2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4:32" ht="12.75" customHeight="1" x14ac:dyDescent="0.2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4:32" ht="12.75" customHeight="1" x14ac:dyDescent="0.2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4:32" ht="12.75" customHeight="1" x14ac:dyDescent="0.2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4:32" ht="12.75" customHeight="1" x14ac:dyDescent="0.2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4:32" ht="12.75" customHeight="1" x14ac:dyDescent="0.2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4:32" ht="12.75" customHeight="1" x14ac:dyDescent="0.2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4:32" ht="12.75" customHeight="1" x14ac:dyDescent="0.2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4:32" ht="12.75" customHeight="1" x14ac:dyDescent="0.2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4:32" ht="12.75" customHeight="1" x14ac:dyDescent="0.2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4:32" ht="12.75" customHeight="1" x14ac:dyDescent="0.2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4:32" ht="12.75" customHeight="1" x14ac:dyDescent="0.2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4:32" ht="12.75" customHeight="1" x14ac:dyDescent="0.2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4:32" ht="12.75" customHeight="1" x14ac:dyDescent="0.2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4:32" ht="12.75" customHeight="1" x14ac:dyDescent="0.2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4:32" ht="12.75" customHeight="1" x14ac:dyDescent="0.2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4:32" ht="12.75" customHeight="1" x14ac:dyDescent="0.2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4:32" ht="12.75" customHeight="1" x14ac:dyDescent="0.2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4:32" ht="12.75" customHeight="1" x14ac:dyDescent="0.2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4:32" ht="12.75" customHeight="1" x14ac:dyDescent="0.2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4:32" ht="12.75" customHeight="1" x14ac:dyDescent="0.2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4:32" ht="12.75" customHeight="1" x14ac:dyDescent="0.2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4:32" ht="12.75" customHeight="1" x14ac:dyDescent="0.2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4:32" ht="12.75" customHeight="1" x14ac:dyDescent="0.2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4:32" ht="12.75" customHeight="1" x14ac:dyDescent="0.2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4:32" ht="12.75" customHeight="1" x14ac:dyDescent="0.2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4:32" ht="12.75" customHeight="1" x14ac:dyDescent="0.2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4:32" ht="12.75" customHeight="1" x14ac:dyDescent="0.2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4:32" ht="12.75" customHeight="1" x14ac:dyDescent="0.2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4:32" ht="12.75" customHeight="1" x14ac:dyDescent="0.2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4:32" ht="12.75" customHeight="1" x14ac:dyDescent="0.2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4:32" ht="12.75" customHeight="1" x14ac:dyDescent="0.2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4:32" ht="12.75" customHeight="1" x14ac:dyDescent="0.2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4:32" ht="12.75" customHeight="1" x14ac:dyDescent="0.2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4:32" ht="12.75" customHeight="1" x14ac:dyDescent="0.2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4:32" ht="12.75" customHeight="1" x14ac:dyDescent="0.2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4:32" ht="12.75" customHeight="1" x14ac:dyDescent="0.2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4:32" ht="12.75" customHeight="1" x14ac:dyDescent="0.2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4:32" ht="12.75" customHeight="1" x14ac:dyDescent="0.2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4:32" ht="12.75" customHeight="1" x14ac:dyDescent="0.2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4:32" ht="12.75" customHeight="1" x14ac:dyDescent="0.2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4:32" ht="12.75" customHeight="1" x14ac:dyDescent="0.2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4:32" ht="12.75" customHeight="1" x14ac:dyDescent="0.2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4:32" ht="12.75" customHeight="1" x14ac:dyDescent="0.2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4:32" ht="12.75" customHeight="1" x14ac:dyDescent="0.2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4:32" ht="12.75" customHeight="1" x14ac:dyDescent="0.2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4:32" ht="12.75" customHeight="1" x14ac:dyDescent="0.2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4:32" ht="12.75" customHeight="1" x14ac:dyDescent="0.2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4:32" ht="12.75" customHeight="1" x14ac:dyDescent="0.2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4:32" ht="12.75" customHeight="1" x14ac:dyDescent="0.2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4:32" ht="12.75" customHeight="1" x14ac:dyDescent="0.2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4:32" ht="12.75" customHeight="1" x14ac:dyDescent="0.2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4:32" ht="12.75" customHeight="1" x14ac:dyDescent="0.2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4:32" ht="12.75" customHeight="1" x14ac:dyDescent="0.2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4:32" ht="12.75" customHeight="1" x14ac:dyDescent="0.2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4:32" ht="12.75" customHeight="1" x14ac:dyDescent="0.2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4:32" ht="12.75" customHeight="1" x14ac:dyDescent="0.2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4:32" ht="12.75" customHeight="1" x14ac:dyDescent="0.2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4:32" ht="12.75" customHeight="1" x14ac:dyDescent="0.2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4:32" ht="12.75" customHeight="1" x14ac:dyDescent="0.2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4:32" ht="12.75" customHeight="1" x14ac:dyDescent="0.2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4:32" ht="12.75" customHeight="1" x14ac:dyDescent="0.2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4:32" ht="12.75" customHeight="1" x14ac:dyDescent="0.2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4:32" ht="12.75" customHeight="1" x14ac:dyDescent="0.2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4:32" ht="12.75" customHeight="1" x14ac:dyDescent="0.2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4:32" ht="12.75" customHeight="1" x14ac:dyDescent="0.2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4:32" ht="12.75" customHeight="1" x14ac:dyDescent="0.2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4:32" ht="12.75" customHeight="1" x14ac:dyDescent="0.2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4:32" ht="12.75" customHeight="1" x14ac:dyDescent="0.2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4:32" ht="12.75" customHeight="1" x14ac:dyDescent="0.2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4:32" ht="12.75" customHeight="1" x14ac:dyDescent="0.2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4:32" ht="12.75" customHeight="1" x14ac:dyDescent="0.2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4:32" ht="12.75" customHeight="1" x14ac:dyDescent="0.2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4:32" ht="12.75" customHeight="1" x14ac:dyDescent="0.2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4:32" ht="12.75" customHeight="1" x14ac:dyDescent="0.2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4:32" ht="12.75" customHeight="1" x14ac:dyDescent="0.2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4:32" ht="12.75" customHeight="1" x14ac:dyDescent="0.2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4:32" ht="12.75" customHeight="1" x14ac:dyDescent="0.2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4:32" ht="12.75" customHeight="1" x14ac:dyDescent="0.2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4:32" ht="12.75" customHeight="1" x14ac:dyDescent="0.2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4:32" ht="12.75" customHeight="1" x14ac:dyDescent="0.2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4:32" ht="12.75" customHeight="1" x14ac:dyDescent="0.2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4:32" ht="12.75" customHeight="1" x14ac:dyDescent="0.2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4:32" ht="12.75" customHeight="1" x14ac:dyDescent="0.2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4:32" ht="12.75" customHeight="1" x14ac:dyDescent="0.2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4:32" ht="12.75" customHeight="1" x14ac:dyDescent="0.2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4:32" ht="12.75" customHeight="1" x14ac:dyDescent="0.2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4:32" ht="12.75" customHeight="1" x14ac:dyDescent="0.2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4:32" ht="12.75" customHeight="1" x14ac:dyDescent="0.2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4:32" ht="12.75" customHeight="1" x14ac:dyDescent="0.2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4:32" ht="12.75" customHeight="1" x14ac:dyDescent="0.2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4:32" ht="12.75" customHeight="1" x14ac:dyDescent="0.2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4:32" ht="12.75" customHeight="1" x14ac:dyDescent="0.2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4:32" ht="12.75" customHeight="1" x14ac:dyDescent="0.2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4:32" ht="12.75" customHeight="1" x14ac:dyDescent="0.2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4:32" ht="12.75" customHeight="1" x14ac:dyDescent="0.2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4:32" ht="12.75" customHeight="1" x14ac:dyDescent="0.2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4:32" ht="12.75" customHeight="1" x14ac:dyDescent="0.2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4:32" ht="12.75" customHeight="1" x14ac:dyDescent="0.2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4:32" ht="12.75" customHeight="1" x14ac:dyDescent="0.2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4:32" ht="12.75" customHeight="1" x14ac:dyDescent="0.2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4:32" ht="12.75" customHeight="1" x14ac:dyDescent="0.2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4:32" ht="12.75" customHeight="1" x14ac:dyDescent="0.2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4:32" ht="12.75" customHeight="1" x14ac:dyDescent="0.2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4:32" ht="12.75" customHeight="1" x14ac:dyDescent="0.2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4:32" ht="12.75" customHeight="1" x14ac:dyDescent="0.2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4:32" ht="12.75" customHeight="1" x14ac:dyDescent="0.2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4:32" ht="12.75" customHeight="1" x14ac:dyDescent="0.2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4:32" ht="12.75" customHeight="1" x14ac:dyDescent="0.2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4:32" ht="12.75" customHeight="1" x14ac:dyDescent="0.2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4:32" ht="12.75" customHeight="1" x14ac:dyDescent="0.2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4:32" ht="12.75" customHeight="1" x14ac:dyDescent="0.2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4:32" ht="12.75" customHeight="1" x14ac:dyDescent="0.2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4:32" ht="12.75" customHeight="1" x14ac:dyDescent="0.2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4:32" ht="12.75" customHeight="1" x14ac:dyDescent="0.2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4:32" ht="12.75" customHeight="1" x14ac:dyDescent="0.2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4:32" ht="12.75" customHeight="1" x14ac:dyDescent="0.2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4:32" ht="12.75" customHeight="1" x14ac:dyDescent="0.2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4:32" ht="12.75" customHeight="1" x14ac:dyDescent="0.2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4:32" ht="12.75" customHeight="1" x14ac:dyDescent="0.2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4:32" ht="12.75" customHeight="1" x14ac:dyDescent="0.2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4:32" ht="12.75" customHeight="1" x14ac:dyDescent="0.2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4:32" ht="12.75" customHeight="1" x14ac:dyDescent="0.2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4:32" ht="12.75" customHeight="1" x14ac:dyDescent="0.2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4:32" ht="12.75" customHeight="1" x14ac:dyDescent="0.2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4:32" ht="12.75" customHeight="1" x14ac:dyDescent="0.2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4:32" ht="12.75" customHeight="1" x14ac:dyDescent="0.2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4:32" ht="12.75" customHeight="1" x14ac:dyDescent="0.2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4:32" ht="12.75" customHeight="1" x14ac:dyDescent="0.2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4:32" ht="12.75" customHeight="1" x14ac:dyDescent="0.2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4:32" ht="12.75" customHeight="1" x14ac:dyDescent="0.2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4:32" ht="12.75" customHeight="1" x14ac:dyDescent="0.2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4:32" ht="12.75" customHeight="1" x14ac:dyDescent="0.2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4:32" ht="12.75" customHeight="1" x14ac:dyDescent="0.2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4:32" ht="12.75" customHeight="1" x14ac:dyDescent="0.2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4:32" ht="12.75" customHeight="1" x14ac:dyDescent="0.2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4:32" ht="12.75" customHeight="1" x14ac:dyDescent="0.2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4:32" ht="12.75" customHeight="1" x14ac:dyDescent="0.2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4:32" ht="12.75" customHeight="1" x14ac:dyDescent="0.2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4:32" ht="12.75" customHeight="1" x14ac:dyDescent="0.2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4:32" ht="12.75" customHeight="1" x14ac:dyDescent="0.2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4:32" ht="12.75" customHeight="1" x14ac:dyDescent="0.2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4:32" ht="12.75" customHeight="1" x14ac:dyDescent="0.2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4:32" ht="12.75" customHeight="1" x14ac:dyDescent="0.2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4:32" ht="12.75" customHeight="1" x14ac:dyDescent="0.2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4:32" ht="12.75" customHeight="1" x14ac:dyDescent="0.2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4:32" ht="12.75" customHeight="1" x14ac:dyDescent="0.2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4:32" ht="12.75" customHeight="1" x14ac:dyDescent="0.2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4:32" ht="12.75" customHeight="1" x14ac:dyDescent="0.2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4:32" ht="12.75" customHeight="1" x14ac:dyDescent="0.2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4:32" ht="12.75" customHeight="1" x14ac:dyDescent="0.2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4:32" ht="12.75" customHeight="1" x14ac:dyDescent="0.2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4:32" ht="12.75" customHeight="1" x14ac:dyDescent="0.2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4:32" ht="12.75" customHeight="1" x14ac:dyDescent="0.2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4:32" ht="12.75" customHeight="1" x14ac:dyDescent="0.2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4:32" ht="12.75" customHeight="1" x14ac:dyDescent="0.2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4:32" ht="12.75" customHeight="1" x14ac:dyDescent="0.2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4:32" ht="12.75" customHeight="1" x14ac:dyDescent="0.2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4:32" ht="12.75" customHeight="1" x14ac:dyDescent="0.2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4:32" ht="12.75" customHeight="1" x14ac:dyDescent="0.2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4:32" ht="12.75" customHeight="1" x14ac:dyDescent="0.2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4:32" ht="12.75" customHeight="1" x14ac:dyDescent="0.2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4:32" ht="12.75" customHeight="1" x14ac:dyDescent="0.2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4:32" ht="12.75" customHeight="1" x14ac:dyDescent="0.2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4:32" ht="12.75" customHeight="1" x14ac:dyDescent="0.2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4:32" ht="12.75" customHeight="1" x14ac:dyDescent="0.2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4:32" ht="12.75" customHeight="1" x14ac:dyDescent="0.2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4:32" ht="12.75" customHeight="1" x14ac:dyDescent="0.2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4:32" ht="12.75" customHeight="1" x14ac:dyDescent="0.2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4:32" ht="12.75" customHeight="1" x14ac:dyDescent="0.2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4:32" ht="12.75" customHeight="1" x14ac:dyDescent="0.2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4:32" ht="12.75" customHeight="1" x14ac:dyDescent="0.2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4:32" ht="12.75" customHeight="1" x14ac:dyDescent="0.2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4:32" ht="12.75" customHeight="1" x14ac:dyDescent="0.2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4:32" ht="12.75" customHeight="1" x14ac:dyDescent="0.2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4:32" ht="12.75" customHeight="1" x14ac:dyDescent="0.2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4:32" ht="12.75" customHeight="1" x14ac:dyDescent="0.2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4:32" ht="12.75" customHeight="1" x14ac:dyDescent="0.2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4:32" ht="12.75" customHeight="1" x14ac:dyDescent="0.2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4:32" ht="12.75" customHeight="1" x14ac:dyDescent="0.2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4:32" ht="12.75" customHeight="1" x14ac:dyDescent="0.2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4:32" ht="12.75" customHeight="1" x14ac:dyDescent="0.2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4:32" ht="12.75" customHeight="1" x14ac:dyDescent="0.2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4:32" ht="12.75" customHeight="1" x14ac:dyDescent="0.2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4:32" ht="12.75" customHeight="1" x14ac:dyDescent="0.2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4:32" ht="12.75" customHeight="1" x14ac:dyDescent="0.2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4:32" ht="12.75" customHeight="1" x14ac:dyDescent="0.2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4:32" ht="12.75" customHeight="1" x14ac:dyDescent="0.2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4:32" ht="12.75" customHeight="1" x14ac:dyDescent="0.2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4:32" ht="12.75" customHeight="1" x14ac:dyDescent="0.2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4:32" ht="12.75" customHeight="1" x14ac:dyDescent="0.2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4:32" ht="12.75" customHeight="1" x14ac:dyDescent="0.2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4:32" ht="12.75" customHeight="1" x14ac:dyDescent="0.2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4:32" ht="12.75" customHeight="1" x14ac:dyDescent="0.2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4:32" ht="12.75" customHeight="1" x14ac:dyDescent="0.2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4:32" ht="12.75" customHeight="1" x14ac:dyDescent="0.2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4:32" ht="12.75" customHeight="1" x14ac:dyDescent="0.2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4:32" ht="12.75" customHeight="1" x14ac:dyDescent="0.2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4:32" ht="12.75" customHeight="1" x14ac:dyDescent="0.2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4:32" ht="12.75" customHeight="1" x14ac:dyDescent="0.2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4:32" ht="12.75" customHeight="1" x14ac:dyDescent="0.2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4:32" ht="12.75" customHeight="1" x14ac:dyDescent="0.2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4:32" ht="12.75" customHeight="1" x14ac:dyDescent="0.2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4:32" ht="12.75" customHeight="1" x14ac:dyDescent="0.2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4:32" ht="12.75" customHeight="1" x14ac:dyDescent="0.2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4:32" ht="12.75" customHeight="1" x14ac:dyDescent="0.2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4:32" ht="12.75" customHeight="1" x14ac:dyDescent="0.2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4:32" ht="12.75" customHeight="1" x14ac:dyDescent="0.2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4:32" ht="12.75" customHeight="1" x14ac:dyDescent="0.2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4:32" ht="12.75" customHeight="1" x14ac:dyDescent="0.2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4:32" ht="12.75" customHeight="1" x14ac:dyDescent="0.2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4:32" ht="12.75" customHeight="1" x14ac:dyDescent="0.2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4:32" ht="12.75" customHeight="1" x14ac:dyDescent="0.2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4:32" ht="12.75" customHeight="1" x14ac:dyDescent="0.2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4:32" ht="12.75" customHeight="1" x14ac:dyDescent="0.2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4:32" ht="12.75" customHeight="1" x14ac:dyDescent="0.2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4:32" ht="12.75" customHeight="1" x14ac:dyDescent="0.2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4:32" ht="12.75" customHeight="1" x14ac:dyDescent="0.2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4:32" ht="12.75" customHeight="1" x14ac:dyDescent="0.2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4:32" ht="12.75" customHeight="1" x14ac:dyDescent="0.2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4:32" ht="12.75" customHeight="1" x14ac:dyDescent="0.2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4:32" ht="12.75" customHeight="1" x14ac:dyDescent="0.2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4:32" ht="12.75" customHeight="1" x14ac:dyDescent="0.2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4:32" ht="12.75" customHeight="1" x14ac:dyDescent="0.2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4:32" ht="12.75" customHeight="1" x14ac:dyDescent="0.2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4:32" ht="12.75" customHeight="1" x14ac:dyDescent="0.2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4:32" ht="12.75" customHeight="1" x14ac:dyDescent="0.2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4:32" ht="12.75" customHeight="1" x14ac:dyDescent="0.2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4:32" ht="12.75" customHeight="1" x14ac:dyDescent="0.2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4:32" ht="12.75" customHeight="1" x14ac:dyDescent="0.2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4:32" ht="12.75" customHeight="1" x14ac:dyDescent="0.2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4:32" ht="12.75" customHeight="1" x14ac:dyDescent="0.2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4:32" ht="12.75" customHeight="1" x14ac:dyDescent="0.2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4:32" ht="12.75" customHeight="1" x14ac:dyDescent="0.2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4:32" ht="12.75" customHeight="1" x14ac:dyDescent="0.2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4:32" ht="12.75" customHeight="1" x14ac:dyDescent="0.2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4:32" ht="12.75" customHeight="1" x14ac:dyDescent="0.2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4:32" ht="12.75" customHeight="1" x14ac:dyDescent="0.2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4:32" ht="12.75" customHeight="1" x14ac:dyDescent="0.2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4:32" ht="12.75" customHeight="1" x14ac:dyDescent="0.2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4:32" ht="12.75" customHeight="1" x14ac:dyDescent="0.2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4:32" ht="12.75" customHeight="1" x14ac:dyDescent="0.2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4:32" ht="12.75" customHeight="1" x14ac:dyDescent="0.2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4:32" ht="12.75" customHeight="1" x14ac:dyDescent="0.2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4:32" ht="12.75" customHeight="1" x14ac:dyDescent="0.2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4:32" ht="12.75" customHeight="1" x14ac:dyDescent="0.2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4:32" ht="12.75" customHeight="1" x14ac:dyDescent="0.2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4:32" ht="12.75" customHeight="1" x14ac:dyDescent="0.2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4:32" ht="12.75" customHeight="1" x14ac:dyDescent="0.2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4:32" ht="12.75" customHeight="1" x14ac:dyDescent="0.2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4:32" ht="12.75" customHeight="1" x14ac:dyDescent="0.2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4:32" ht="12.75" customHeight="1" x14ac:dyDescent="0.2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4:32" ht="12.75" customHeight="1" x14ac:dyDescent="0.2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4:32" ht="12.75" customHeight="1" x14ac:dyDescent="0.2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4:32" ht="12.75" customHeight="1" x14ac:dyDescent="0.2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4:32" ht="12.75" customHeight="1" x14ac:dyDescent="0.2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4:32" ht="12.75" customHeight="1" x14ac:dyDescent="0.2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4:32" ht="12.75" customHeight="1" x14ac:dyDescent="0.2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4:32" ht="12.75" customHeight="1" x14ac:dyDescent="0.2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4:32" ht="12.75" customHeight="1" x14ac:dyDescent="0.2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4:32" ht="12.75" customHeight="1" x14ac:dyDescent="0.2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4:32" ht="12.75" customHeight="1" x14ac:dyDescent="0.2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4:32" ht="12.75" customHeight="1" x14ac:dyDescent="0.2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4:32" ht="12.75" customHeight="1" x14ac:dyDescent="0.2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4:32" ht="12.75" customHeight="1" x14ac:dyDescent="0.2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4:32" ht="12.75" customHeight="1" x14ac:dyDescent="0.2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4:32" ht="12.75" customHeight="1" x14ac:dyDescent="0.2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4:32" ht="12.75" customHeight="1" x14ac:dyDescent="0.2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4:32" ht="12.75" customHeight="1" x14ac:dyDescent="0.2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4:32" ht="12.75" customHeight="1" x14ac:dyDescent="0.2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4:32" ht="12.75" customHeight="1" x14ac:dyDescent="0.2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4:32" ht="12.75" customHeight="1" x14ac:dyDescent="0.2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4:32" ht="12.75" customHeight="1" x14ac:dyDescent="0.2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4:32" ht="12.75" customHeight="1" x14ac:dyDescent="0.2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4:32" ht="12.75" customHeight="1" x14ac:dyDescent="0.2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4:32" ht="12.75" customHeight="1" x14ac:dyDescent="0.2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4:32" ht="12.75" customHeight="1" x14ac:dyDescent="0.2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4:32" ht="12.75" customHeight="1" x14ac:dyDescent="0.2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4:32" ht="12.75" customHeight="1" x14ac:dyDescent="0.2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4:32" ht="12.75" customHeight="1" x14ac:dyDescent="0.2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4:32" ht="12.75" customHeight="1" x14ac:dyDescent="0.2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4:32" ht="12.75" customHeight="1" x14ac:dyDescent="0.2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4:32" ht="12.75" customHeight="1" x14ac:dyDescent="0.2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4:32" ht="12.75" customHeight="1" x14ac:dyDescent="0.2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4:32" ht="12.75" customHeight="1" x14ac:dyDescent="0.2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4:32" ht="12.75" customHeight="1" x14ac:dyDescent="0.2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4:32" ht="12.75" customHeight="1" x14ac:dyDescent="0.2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4:32" ht="12.75" customHeight="1" x14ac:dyDescent="0.2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4:32" ht="12.75" customHeight="1" x14ac:dyDescent="0.2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4:32" ht="12.75" customHeight="1" x14ac:dyDescent="0.2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4:32" ht="12.75" customHeight="1" x14ac:dyDescent="0.2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4:32" ht="12.75" customHeight="1" x14ac:dyDescent="0.2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4:32" ht="12.75" customHeight="1" x14ac:dyDescent="0.2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4:32" ht="12.75" customHeight="1" x14ac:dyDescent="0.2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4:32" ht="12.75" customHeight="1" x14ac:dyDescent="0.2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4:32" ht="12.75" customHeight="1" x14ac:dyDescent="0.2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4:32" ht="12.75" customHeight="1" x14ac:dyDescent="0.2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4:32" ht="12.75" customHeight="1" x14ac:dyDescent="0.2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4:32" ht="12.75" customHeight="1" x14ac:dyDescent="0.2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4:32" ht="12.75" customHeight="1" x14ac:dyDescent="0.2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4:32" ht="12.75" customHeight="1" x14ac:dyDescent="0.2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4:32" ht="12.75" customHeight="1" x14ac:dyDescent="0.2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4:32" ht="12.75" customHeight="1" x14ac:dyDescent="0.2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4:32" ht="12.75" customHeight="1" x14ac:dyDescent="0.2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4:32" ht="12.75" customHeight="1" x14ac:dyDescent="0.2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4:32" ht="12.75" customHeight="1" x14ac:dyDescent="0.2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4:32" ht="12.75" customHeight="1" x14ac:dyDescent="0.2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4:32" ht="12.75" customHeight="1" x14ac:dyDescent="0.2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4:32" ht="12.75" customHeight="1" x14ac:dyDescent="0.2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4:32" ht="12.75" customHeight="1" x14ac:dyDescent="0.2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4:32" ht="12.75" customHeight="1" x14ac:dyDescent="0.2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4:32" ht="12.75" customHeight="1" x14ac:dyDescent="0.2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4:32" ht="12.75" customHeight="1" x14ac:dyDescent="0.2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4:32" ht="12.75" customHeight="1" x14ac:dyDescent="0.2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4:32" ht="12.75" customHeight="1" x14ac:dyDescent="0.2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4:32" ht="12.75" customHeight="1" x14ac:dyDescent="0.2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4:32" ht="12.75" customHeight="1" x14ac:dyDescent="0.2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4:32" ht="12.75" customHeight="1" x14ac:dyDescent="0.2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4:32" ht="12.75" customHeight="1" x14ac:dyDescent="0.2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4:32" ht="12.75" customHeight="1" x14ac:dyDescent="0.2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4:32" ht="12.75" customHeight="1" x14ac:dyDescent="0.2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4:32" ht="12.75" customHeight="1" x14ac:dyDescent="0.2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4:32" ht="12.75" customHeight="1" x14ac:dyDescent="0.2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4:32" ht="12.75" customHeight="1" x14ac:dyDescent="0.2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4:32" ht="12.75" customHeight="1" x14ac:dyDescent="0.2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4:32" ht="12.75" customHeight="1" x14ac:dyDescent="0.2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4:32" ht="12.75" customHeight="1" x14ac:dyDescent="0.2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4:32" ht="12.75" customHeight="1" x14ac:dyDescent="0.2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4:32" ht="12.75" customHeight="1" x14ac:dyDescent="0.2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4:32" ht="12.75" customHeight="1" x14ac:dyDescent="0.2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4:32" ht="12.75" customHeight="1" x14ac:dyDescent="0.2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4:32" ht="12.75" customHeight="1" x14ac:dyDescent="0.2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4:32" ht="12.75" customHeight="1" x14ac:dyDescent="0.2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4:32" ht="12.75" customHeight="1" x14ac:dyDescent="0.2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4:32" ht="12.75" customHeight="1" x14ac:dyDescent="0.2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4:32" ht="12.75" customHeight="1" x14ac:dyDescent="0.2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4:32" ht="12.75" customHeight="1" x14ac:dyDescent="0.2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4:32" ht="12.75" customHeight="1" x14ac:dyDescent="0.2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4:32" ht="12.75" customHeight="1" x14ac:dyDescent="0.2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4:32" ht="12.75" customHeight="1" x14ac:dyDescent="0.2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4:32" ht="12.75" customHeight="1" x14ac:dyDescent="0.2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4:32" ht="12.75" customHeight="1" x14ac:dyDescent="0.2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4:32" ht="12.75" customHeight="1" x14ac:dyDescent="0.2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4:32" ht="12.75" customHeight="1" x14ac:dyDescent="0.2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4:32" ht="12.75" customHeight="1" x14ac:dyDescent="0.2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4:32" ht="12.75" customHeight="1" x14ac:dyDescent="0.2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4:32" ht="12.75" customHeight="1" x14ac:dyDescent="0.2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4:32" ht="12.75" customHeight="1" x14ac:dyDescent="0.2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4:32" ht="12.75" customHeight="1" x14ac:dyDescent="0.2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4:32" ht="12.75" customHeight="1" x14ac:dyDescent="0.2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4:32" ht="12.75" customHeight="1" x14ac:dyDescent="0.2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4:32" ht="12.75" customHeight="1" x14ac:dyDescent="0.2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4:32" ht="12.75" customHeight="1" x14ac:dyDescent="0.2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4:32" ht="12.75" customHeight="1" x14ac:dyDescent="0.2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4:32" ht="12.75" customHeight="1" x14ac:dyDescent="0.2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4:32" ht="12.75" customHeight="1" x14ac:dyDescent="0.2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4:32" ht="12.75" customHeight="1" x14ac:dyDescent="0.2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4:32" ht="12.75" customHeight="1" x14ac:dyDescent="0.2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4:32" ht="12.75" customHeight="1" x14ac:dyDescent="0.2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4:32" ht="12.75" customHeight="1" x14ac:dyDescent="0.2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4:32" ht="12.75" customHeight="1" x14ac:dyDescent="0.2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4:32" ht="12.75" customHeight="1" x14ac:dyDescent="0.2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4:32" ht="12.75" customHeight="1" x14ac:dyDescent="0.2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4:32" ht="12.75" customHeight="1" x14ac:dyDescent="0.2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4:32" ht="12.75" customHeight="1" x14ac:dyDescent="0.2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4:32" ht="12.75" customHeight="1" x14ac:dyDescent="0.2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4:32" ht="12.75" customHeight="1" x14ac:dyDescent="0.2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4:32" ht="12.75" customHeight="1" x14ac:dyDescent="0.2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4:32" ht="12.75" customHeight="1" x14ac:dyDescent="0.2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4:32" ht="12.75" customHeight="1" x14ac:dyDescent="0.2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4:32" ht="12.75" customHeight="1" x14ac:dyDescent="0.2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4:32" ht="12.75" customHeight="1" x14ac:dyDescent="0.2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4:32" ht="12.75" customHeight="1" x14ac:dyDescent="0.2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4:32" ht="12.75" customHeight="1" x14ac:dyDescent="0.2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4:32" ht="12.75" customHeight="1" x14ac:dyDescent="0.2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4:32" ht="12.75" customHeight="1" x14ac:dyDescent="0.2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4:32" ht="12.75" customHeight="1" x14ac:dyDescent="0.2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4:32" ht="12.75" customHeight="1" x14ac:dyDescent="0.2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4:32" ht="12.75" customHeight="1" x14ac:dyDescent="0.2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4:32" ht="12.75" customHeight="1" x14ac:dyDescent="0.2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4:32" ht="12.75" customHeight="1" x14ac:dyDescent="0.2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4:32" ht="12.75" customHeight="1" x14ac:dyDescent="0.2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4:32" ht="12.75" customHeight="1" x14ac:dyDescent="0.2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4:32" ht="12.75" customHeight="1" x14ac:dyDescent="0.2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4:32" ht="12.75" customHeight="1" x14ac:dyDescent="0.2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4:32" ht="12.75" customHeight="1" x14ac:dyDescent="0.2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4:32" ht="12.75" customHeight="1" x14ac:dyDescent="0.2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4:32" ht="12.75" customHeight="1" x14ac:dyDescent="0.2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4:32" ht="12.75" customHeight="1" x14ac:dyDescent="0.2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4:32" ht="12.75" customHeight="1" x14ac:dyDescent="0.2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4:32" ht="12.75" customHeight="1" x14ac:dyDescent="0.2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4:32" ht="12.75" customHeight="1" x14ac:dyDescent="0.2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4:32" ht="12.75" customHeight="1" x14ac:dyDescent="0.2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4:32" ht="12.75" customHeight="1" x14ac:dyDescent="0.2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4:32" ht="12.75" customHeight="1" x14ac:dyDescent="0.2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4:32" ht="12.75" customHeight="1" x14ac:dyDescent="0.2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4:32" ht="12.75" customHeight="1" x14ac:dyDescent="0.2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4:32" ht="12.75" customHeight="1" x14ac:dyDescent="0.2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4:32" ht="12.75" customHeight="1" x14ac:dyDescent="0.2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4:32" ht="12.75" customHeight="1" x14ac:dyDescent="0.2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4:32" ht="12.75" customHeight="1" x14ac:dyDescent="0.2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4:32" ht="12.75" customHeight="1" x14ac:dyDescent="0.2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4:32" ht="12.75" customHeight="1" x14ac:dyDescent="0.2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4:32" ht="12.75" customHeight="1" x14ac:dyDescent="0.2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4:32" ht="12.75" customHeight="1" x14ac:dyDescent="0.2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4:32" ht="12.75" customHeight="1" x14ac:dyDescent="0.2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4:32" ht="12.75" customHeight="1" x14ac:dyDescent="0.2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4:32" ht="12.75" customHeight="1" x14ac:dyDescent="0.2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4:32" ht="12.75" customHeight="1" x14ac:dyDescent="0.2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4:32" ht="12.75" customHeight="1" x14ac:dyDescent="0.2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4:32" ht="12.75" customHeight="1" x14ac:dyDescent="0.2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4:32" ht="12.75" customHeight="1" x14ac:dyDescent="0.2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4:32" ht="12.75" customHeight="1" x14ac:dyDescent="0.2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4:32" ht="12.75" customHeight="1" x14ac:dyDescent="0.2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4:32" ht="12.75" customHeight="1" x14ac:dyDescent="0.2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4:32" ht="12.75" customHeight="1" x14ac:dyDescent="0.2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4:32" ht="12.75" customHeight="1" x14ac:dyDescent="0.2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4:32" ht="12.75" customHeight="1" x14ac:dyDescent="0.2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4:32" ht="12.75" customHeight="1" x14ac:dyDescent="0.2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4:32" ht="12.75" customHeight="1" x14ac:dyDescent="0.2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4:32" ht="12.75" customHeight="1" x14ac:dyDescent="0.2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4:32" ht="12.75" customHeight="1" x14ac:dyDescent="0.2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4:32" ht="12.75" customHeight="1" x14ac:dyDescent="0.2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4:32" ht="12.75" customHeight="1" x14ac:dyDescent="0.2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4:32" ht="12.75" customHeight="1" x14ac:dyDescent="0.2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4:32" ht="12.75" customHeight="1" x14ac:dyDescent="0.2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4:32" ht="12.75" customHeight="1" x14ac:dyDescent="0.2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4:32" ht="12.75" customHeight="1" x14ac:dyDescent="0.2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4:32" ht="12.75" customHeight="1" x14ac:dyDescent="0.2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4:32" ht="12.75" customHeight="1" x14ac:dyDescent="0.2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B22:AF65">
    <cfRule type="expression" dxfId="11" priority="3" stopIfTrue="1">
      <formula>$F22="Terminado"</formula>
    </cfRule>
    <cfRule type="expression" dxfId="10" priority="4" stopIfTrue="1">
      <formula>$F22="En Progreso"</formula>
    </cfRule>
  </conditionalFormatting>
  <conditionalFormatting sqref="L22:AF65 C26:K65">
    <cfRule type="expression" dxfId="9" priority="1" stopIfTrue="1">
      <formula>$F18="Done"</formula>
    </cfRule>
    <cfRule type="expression" dxfId="8" priority="2" stopIfTrue="1">
      <formula>$F18="Ongoing"</formula>
    </cfRule>
  </conditionalFormatting>
  <dataValidations count="1">
    <dataValidation type="list" allowBlank="1" sqref="F10:F15 F22:F71" xr:uid="{00000000-0002-0000-0000-000000000000}">
      <formula1>"Por Hacer,En Progreso,Terminado"</formula1>
    </dataValidation>
  </dataValidations>
  <pageMargins left="0.75" right="0.75" top="1" bottom="1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workbookViewId="0"/>
  </sheetViews>
  <sheetFormatPr baseColWidth="10" defaultColWidth="12.7109375" defaultRowHeight="15" customHeight="1" x14ac:dyDescent="0.2"/>
  <cols>
    <col min="1" max="1" width="3.28515625" customWidth="1"/>
    <col min="2" max="2" width="9.140625" customWidth="1"/>
    <col min="3" max="3" width="38.28515625" customWidth="1"/>
    <col min="4" max="4" width="10.7109375" customWidth="1"/>
    <col min="5" max="5" width="13.7109375" customWidth="1"/>
    <col min="6" max="6" width="10.85546875" customWidth="1"/>
    <col min="7" max="7" width="9.7109375" customWidth="1"/>
    <col min="8" max="32" width="4.28515625" customWidth="1"/>
    <col min="33" max="33" width="9.140625" customWidth="1"/>
  </cols>
  <sheetData>
    <row r="1" spans="2:32" ht="12.75" customHeight="1" x14ac:dyDescent="0.2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2:32" ht="10.5" customHeight="1" x14ac:dyDescent="0.2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spans="2:32" ht="15" customHeight="1" x14ac:dyDescent="0.2">
      <c r="B3" s="7"/>
      <c r="C3" s="8" t="s">
        <v>0</v>
      </c>
      <c r="D3" s="36"/>
      <c r="E3" s="34"/>
      <c r="F3" s="34"/>
      <c r="G3" s="34"/>
      <c r="H3" s="35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9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2:32" ht="15" customHeight="1" x14ac:dyDescent="0.2">
      <c r="B4" s="7"/>
      <c r="C4" s="8" t="s">
        <v>2</v>
      </c>
      <c r="D4" s="36"/>
      <c r="E4" s="34"/>
      <c r="F4" s="34"/>
      <c r="G4" s="34"/>
      <c r="H4" s="35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9"/>
      <c r="W4" s="10"/>
      <c r="X4" s="10"/>
      <c r="Y4" s="10"/>
      <c r="Z4" s="10"/>
      <c r="AA4" s="10"/>
      <c r="AB4" s="10"/>
      <c r="AC4" s="10"/>
      <c r="AD4" s="10"/>
      <c r="AE4" s="10"/>
      <c r="AF4" s="11"/>
    </row>
    <row r="5" spans="2:32" ht="15" customHeight="1" x14ac:dyDescent="0.2">
      <c r="B5" s="7"/>
      <c r="C5" s="8" t="s">
        <v>4</v>
      </c>
      <c r="D5" s="36"/>
      <c r="E5" s="34"/>
      <c r="F5" s="34"/>
      <c r="G5" s="34"/>
      <c r="H5" s="35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2:32" ht="15" customHeight="1" x14ac:dyDescent="0.2">
      <c r="B6" s="12"/>
      <c r="C6" s="13"/>
      <c r="D6" s="14"/>
      <c r="E6" s="14"/>
      <c r="F6" s="14"/>
      <c r="G6" s="14"/>
      <c r="H6" s="14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5"/>
      <c r="W6" s="16"/>
      <c r="X6" s="16"/>
      <c r="Y6" s="16"/>
      <c r="Z6" s="16"/>
      <c r="AA6" s="16"/>
      <c r="AB6" s="16"/>
      <c r="AC6" s="16"/>
      <c r="AD6" s="16"/>
      <c r="AE6" s="16"/>
      <c r="AF6" s="17"/>
    </row>
    <row r="7" spans="2:32" ht="12.75" customHeight="1" x14ac:dyDescent="0.2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2:32" ht="12.75" customHeight="1" x14ac:dyDescent="0.25">
      <c r="C8" s="18">
        <v>2</v>
      </c>
      <c r="D8" s="19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2:32" ht="12.75" customHeight="1" x14ac:dyDescent="0.2">
      <c r="D9" s="1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2:32" ht="12.75" customHeight="1" x14ac:dyDescent="0.2">
      <c r="D10" s="1"/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2:32" ht="12.75" customHeight="1" x14ac:dyDescent="0.2">
      <c r="D11" s="1"/>
      <c r="F11" s="2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2:32" ht="12.75" customHeight="1" x14ac:dyDescent="0.2">
      <c r="D12" s="1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2:32" ht="12.75" customHeight="1" x14ac:dyDescent="0.2">
      <c r="D13" s="1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2:32" ht="12.75" customHeight="1" x14ac:dyDescent="0.2">
      <c r="D14" s="1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2:32" ht="12.75" customHeight="1" x14ac:dyDescent="0.2">
      <c r="D15" s="1"/>
      <c r="F15" s="2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2:32" ht="12.75" customHeight="1" x14ac:dyDescent="0.2">
      <c r="B16" s="22"/>
      <c r="C16" s="22" t="s">
        <v>6</v>
      </c>
      <c r="D16" s="1">
        <v>10</v>
      </c>
      <c r="E16" s="22"/>
      <c r="F16" s="23"/>
      <c r="G16" s="22" t="s">
        <v>7</v>
      </c>
      <c r="H16" s="22" t="s">
        <v>8</v>
      </c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2:32" ht="12.75" customHeight="1" x14ac:dyDescent="0.2">
      <c r="B17" s="22"/>
      <c r="C17" s="22" t="s">
        <v>9</v>
      </c>
      <c r="D17" s="1">
        <v>10</v>
      </c>
      <c r="E17" s="22" t="s">
        <v>10</v>
      </c>
      <c r="F17" s="22" t="s">
        <v>11</v>
      </c>
      <c r="G17" s="24">
        <f ca="1">SUM(OFFSET(G21,1,0,'Sprint 2'!TaskRows,1))</f>
        <v>62</v>
      </c>
      <c r="H17" s="24">
        <f ca="1">IF(AND(SUM(OFFSET(H21,1,0,'Sprint 2'!TaskRows,1))=0),0,SUM(OFFSET(H21,1,0,'Sprint 2'!TaskRows,1)))</f>
        <v>62</v>
      </c>
      <c r="I17" s="24">
        <f ca="1">IF(AND(SUM(OFFSET(I21,1,0,'Sprint 2'!TaskRows,1))=0),"",SUM(OFFSET(I21,1,0,'Sprint 2'!TaskRows,1)))</f>
        <v>55</v>
      </c>
      <c r="J17" s="24">
        <f ca="1">IF(AND(SUM(OFFSET(J21,1,0,'Sprint 2'!TaskRows,1))=0),"",SUM(OFFSET(J21,1,0,'Sprint 2'!TaskRows,1)))</f>
        <v>49</v>
      </c>
      <c r="K17" s="24">
        <f ca="1">IF(AND(SUM(OFFSET(K21,1,0,'Sprint 2'!TaskRows,1))=0),"",SUM(OFFSET(K21,1,0,'Sprint 2'!TaskRows,1)))</f>
        <v>43</v>
      </c>
      <c r="L17" s="24">
        <f ca="1">IF(AND(SUM(OFFSET(L21,1,0,'Sprint 2'!TaskRows,1))=0),"",SUM(OFFSET(L21,1,0,'Sprint 2'!TaskRows,1)))</f>
        <v>34</v>
      </c>
      <c r="M17" s="24">
        <f ca="1">IF(AND(SUM(OFFSET(M21,1,0,'Sprint 2'!TaskRows,1))=0),"",SUM(OFFSET(M21,1,0,'Sprint 2'!TaskRows,1)))</f>
        <v>24</v>
      </c>
      <c r="N17" s="24">
        <f ca="1">IF(AND(SUM(OFFSET(N21,1,0,'Sprint 2'!TaskRows,1))=0),"",SUM(OFFSET(N21,1,0,'Sprint 2'!TaskRows,1)))</f>
        <v>15</v>
      </c>
      <c r="O17" s="24">
        <f ca="1">IF(AND(SUM(OFFSET(O21,1,0,'Sprint 2'!TaskRows,1))=0),"",SUM(OFFSET(O21,1,0,'Sprint 2'!TaskRows,1)))</f>
        <v>10</v>
      </c>
      <c r="P17" s="24">
        <f ca="1">IF(AND(SUM(OFFSET(P21,1,0,'Sprint 2'!TaskRows,1))=0),"",SUM(OFFSET(P21,1,0,'Sprint 2'!TaskRows,1)))</f>
        <v>6</v>
      </c>
      <c r="Q17" s="24" t="str">
        <f ca="1">IF(AND(SUM(OFFSET(Q21,1,0,'Sprint 2'!TaskRows,1))=0),"",SUM(OFFSET(Q21,1,0,'Sprint 2'!TaskRows,1)))</f>
        <v/>
      </c>
      <c r="R17" s="24" t="str">
        <f ca="1">IF(AND(SUM(OFFSET(R21,1,0,'Sprint 2'!TaskRows,1))=0),"",SUM(OFFSET(R21,1,0,'Sprint 2'!TaskRows,1)))</f>
        <v/>
      </c>
      <c r="S17" s="24" t="str">
        <f ca="1">IF(AND(SUM(OFFSET(S21,1,0,'Sprint 2'!TaskRows,1))=0),"",SUM(OFFSET(S21,1,0,'Sprint 2'!TaskRows,1)))</f>
        <v/>
      </c>
      <c r="T17" s="24" t="str">
        <f ca="1">IF(AND(SUM(OFFSET(T21,1,0,'Sprint 2'!TaskRows,1))=0),"",SUM(OFFSET(T21,1,0,'Sprint 2'!TaskRows,1)))</f>
        <v/>
      </c>
      <c r="U17" s="24" t="str">
        <f ca="1">IF(AND(SUM(OFFSET(U21,1,0,'Sprint 2'!TaskRows,1))=0),"",SUM(OFFSET(U21,1,0,'Sprint 2'!TaskRows,1)))</f>
        <v/>
      </c>
      <c r="V17" s="24" t="str">
        <f ca="1">IF(AND(SUM(OFFSET(V21,1,0,'Sprint 2'!TaskRows,1))=0),"",SUM(OFFSET(V21,1,0,'Sprint 2'!TaskRows,1)))</f>
        <v/>
      </c>
      <c r="W17" s="24" t="str">
        <f ca="1">IF(AND(SUM(OFFSET(W21,1,0,'Sprint 2'!TaskRows,1))=0),"",SUM(OFFSET(W21,1,0,'Sprint 2'!TaskRows,1)))</f>
        <v/>
      </c>
      <c r="X17" s="24" t="str">
        <f ca="1">IF(AND(SUM(OFFSET(X21,1,0,'Sprint 2'!TaskRows,1))=0),"",SUM(OFFSET(X21,1,0,'Sprint 2'!TaskRows,1)))</f>
        <v/>
      </c>
      <c r="Y17" s="24" t="str">
        <f ca="1">IF(AND(SUM(OFFSET(Y21,1,0,'Sprint 2'!TaskRows,1))=0),"",SUM(OFFSET(Y21,1,0,'Sprint 2'!TaskRows,1)))</f>
        <v/>
      </c>
      <c r="Z17" s="24" t="str">
        <f ca="1">IF(AND(SUM(OFFSET(Z21,1,0,'Sprint 2'!TaskRows,1))=0),"",SUM(OFFSET(Z21,1,0,'Sprint 2'!TaskRows,1)))</f>
        <v/>
      </c>
      <c r="AA17" s="24" t="str">
        <f ca="1">IF(AND(SUM(OFFSET(AA21,1,0,'Sprint 2'!TaskRows,1))=0),"",SUM(OFFSET(AA21,1,0,'Sprint 2'!TaskRows,1)))</f>
        <v/>
      </c>
      <c r="AB17" s="24" t="str">
        <f ca="1">IF(AND(SUM(OFFSET(AB21,1,0,'Sprint 2'!TaskRows,1))=0),"",SUM(OFFSET(AB21,1,0,'Sprint 2'!TaskRows,1)))</f>
        <v/>
      </c>
      <c r="AC17" s="24" t="str">
        <f ca="1">IF(AND(SUM(OFFSET(AC21,1,0,'Sprint 2'!TaskRows,1))=0),"",SUM(OFFSET(AC21,1,0,'Sprint 2'!TaskRows,1)))</f>
        <v/>
      </c>
      <c r="AD17" s="24" t="str">
        <f ca="1">IF(AND(SUM(OFFSET(AD21,1,0,'Sprint 2'!TaskRows,1))=0),"",SUM(OFFSET(AD21,1,0,'Sprint 2'!TaskRows,1)))</f>
        <v/>
      </c>
      <c r="AE17" s="24" t="str">
        <f ca="1">IF(AND(SUM(OFFSET(AE21,1,0,'Sprint 2'!TaskRows,1))=0),"",SUM(OFFSET(AE21,1,0,'Sprint 2'!TaskRows,1)))</f>
        <v/>
      </c>
      <c r="AF17" s="24" t="str">
        <f ca="1">IF(AND(SUM(OFFSET(AF21,1,0,'Sprint 2'!TaskRows,1))=0),"",SUM(OFFSET(AF21,1,0,'Sprint 2'!TaskRows,1)))</f>
        <v/>
      </c>
    </row>
    <row r="18" spans="2:32" ht="12.75" hidden="1" customHeight="1" x14ac:dyDescent="0.2">
      <c r="C18" s="21" t="s">
        <v>12</v>
      </c>
      <c r="D18" s="1">
        <f>IF(COUNTA(C22:C249)=0,1,COUNTA(C22:C249))</f>
        <v>4</v>
      </c>
      <c r="E18" s="21" t="s">
        <v>13</v>
      </c>
      <c r="F18" s="1">
        <f ca="1">IF(COUNTIF(H17:AF17,"&gt;0")=0,1,COUNTIF(H17:AF17,"&gt;0"))</f>
        <v>9</v>
      </c>
      <c r="G18" s="1"/>
      <c r="H18" s="1">
        <f ca="1">IF(H21="","",$G17-$G17/($D16-1)*(H21-1))</f>
        <v>62</v>
      </c>
      <c r="I18" s="1">
        <f ca="1">IF(I21="","",'Sprint 2'!TotalEffort-'Sprint 2'!TotalEffort/('Sprint 2'!ImplementationDays)*(I21-1))</f>
        <v>55.8</v>
      </c>
      <c r="J18" s="1">
        <f ca="1">IF(J21="","",'Sprint 2'!TotalEffort-'Sprint 2'!TotalEffort/('Sprint 2'!ImplementationDays)*(J21-1))</f>
        <v>49.6</v>
      </c>
      <c r="K18" s="1">
        <f ca="1">IF(K21="","",'Sprint 2'!TotalEffort-'Sprint 2'!TotalEffort/('Sprint 2'!ImplementationDays)*(K21-1))</f>
        <v>43.4</v>
      </c>
      <c r="L18" s="1">
        <f ca="1">IF(L21="","",'Sprint 2'!TotalEffort-'Sprint 2'!TotalEffort/('Sprint 2'!ImplementationDays)*(L21-1))</f>
        <v>37.200000000000003</v>
      </c>
      <c r="M18" s="1">
        <f ca="1">IF(M21="","",'Sprint 2'!TotalEffort-'Sprint 2'!TotalEffort/('Sprint 2'!ImplementationDays)*(M21-1))</f>
        <v>31</v>
      </c>
      <c r="N18" s="1">
        <f ca="1">IF(N21="","",'Sprint 2'!TotalEffort-'Sprint 2'!TotalEffort/('Sprint 2'!ImplementationDays)*(N21-1))</f>
        <v>24.799999999999997</v>
      </c>
      <c r="O18" s="1">
        <f ca="1">IF(O21="","",'Sprint 2'!TotalEffort-'Sprint 2'!TotalEffort/('Sprint 2'!ImplementationDays)*(O21-1))</f>
        <v>18.600000000000001</v>
      </c>
      <c r="P18" s="1">
        <f ca="1">IF(P21="","",'Sprint 2'!TotalEffort-'Sprint 2'!TotalEffort/('Sprint 2'!ImplementationDays)*(P21-1))</f>
        <v>12.399999999999999</v>
      </c>
      <c r="Q18" s="1">
        <f ca="1">IF(Q21="","",'Sprint 2'!TotalEffort-'Sprint 2'!TotalEffort/('Sprint 2'!ImplementationDays)*(Q21-1))</f>
        <v>6.1999999999999957</v>
      </c>
      <c r="R18" s="1" t="str">
        <f>IF(R21="","",'Sprint 2'!TotalEffort-'Sprint 2'!TotalEffort/('Sprint 2'!ImplementationDays)*(R21-1))</f>
        <v/>
      </c>
      <c r="S18" s="1" t="str">
        <f>IF(S21="","",'Sprint 2'!TotalEffort-'Sprint 2'!TotalEffort/('Sprint 2'!ImplementationDays)*(S21-1))</f>
        <v/>
      </c>
      <c r="T18" s="1" t="str">
        <f>IF(T21="","",'Sprint 2'!TotalEffort-'Sprint 2'!TotalEffort/('Sprint 2'!ImplementationDays)*(T21-1))</f>
        <v/>
      </c>
      <c r="U18" s="1" t="str">
        <f>IF(U21="","",'Sprint 2'!TotalEffort-'Sprint 2'!TotalEffort/('Sprint 2'!ImplementationDays)*(U21-1))</f>
        <v/>
      </c>
      <c r="V18" s="1" t="str">
        <f>IF(V21="","",'Sprint 2'!TotalEffort-'Sprint 2'!TotalEffort/('Sprint 2'!ImplementationDays)*(V21-1))</f>
        <v/>
      </c>
      <c r="W18" s="1" t="str">
        <f>IF(W21="","",'Sprint 2'!TotalEffort-'Sprint 2'!TotalEffort/('Sprint 2'!ImplementationDays)*(W21-1))</f>
        <v/>
      </c>
      <c r="X18" s="1" t="str">
        <f>IF(X21="","",'Sprint 2'!TotalEffort-'Sprint 2'!TotalEffort/('Sprint 2'!ImplementationDays)*(X21-1))</f>
        <v/>
      </c>
      <c r="Y18" s="1" t="str">
        <f>IF(Y21="","",'Sprint 2'!TotalEffort-'Sprint 2'!TotalEffort/('Sprint 2'!ImplementationDays)*(Y21-1))</f>
        <v/>
      </c>
      <c r="Z18" s="1" t="str">
        <f>IF(Z21="","",'Sprint 2'!TotalEffort-'Sprint 2'!TotalEffort/('Sprint 2'!ImplementationDays)*(Z21-1))</f>
        <v/>
      </c>
      <c r="AA18" s="1" t="str">
        <f>IF(AA21="","",'Sprint 2'!TotalEffort-'Sprint 2'!TotalEffort/('Sprint 2'!ImplementationDays)*(AA21-1))</f>
        <v/>
      </c>
      <c r="AB18" s="1" t="str">
        <f>IF(AB21="","",'Sprint 2'!TotalEffort-'Sprint 2'!TotalEffort/('Sprint 2'!ImplementationDays)*(AB21-1))</f>
        <v/>
      </c>
      <c r="AC18" s="1" t="str">
        <f>IF(AC21="","",'Sprint 2'!TotalEffort-'Sprint 2'!TotalEffort/('Sprint 2'!ImplementationDays)*(AC21-1))</f>
        <v/>
      </c>
      <c r="AD18" s="1" t="str">
        <f>IF(AD21="","",'Sprint 2'!TotalEffort-'Sprint 2'!TotalEffort/('Sprint 2'!ImplementationDays)*(AD21-1))</f>
        <v/>
      </c>
      <c r="AE18" s="1" t="str">
        <f>IF(AE21="","",'Sprint 2'!TotalEffort-'Sprint 2'!TotalEffort/('Sprint 2'!ImplementationDays)*(AE21-1))</f>
        <v/>
      </c>
      <c r="AF18" s="1" t="str">
        <f>IF(AF21="","",'Sprint 2'!TotalEffort-'Sprint 2'!TotalEffort/('Sprint 2'!ImplementationDays)*(AF21-1))</f>
        <v/>
      </c>
    </row>
    <row r="19" spans="2:32" ht="12.75" hidden="1" customHeight="1" x14ac:dyDescent="0.2">
      <c r="C19" s="25" t="s">
        <v>14</v>
      </c>
      <c r="E19" s="21" t="s">
        <v>15</v>
      </c>
      <c r="F19" s="1"/>
      <c r="G19" s="1"/>
      <c r="H19" s="1">
        <f t="array" aca="1" ref="H19" ca="1">IF(TREND(OFFSET($H17,0,'Sprint 2'!DoneDays-'Sprint 2'!TrendDays,1,'Sprint 2'!TrendDays),OFFSET($H20,0,'Sprint 2'!DoneDays-'Sprint 2'!TrendDays,1,'Sprint 2'!TrendDays),H20)&lt;0,"",TREND(OFFSET($H17,0,'Sprint 2'!DoneDays-'Sprint 2'!TrendDays,1,'Sprint 2'!TrendDays),OFFSET($H20,0,'Sprint 2'!DoneDays-'Sprint 2'!TrendDays,1,'Sprint 2'!TrendDays),H20))</f>
        <v>62.844444444444441</v>
      </c>
      <c r="I19" s="1">
        <f t="array" aca="1" ref="I19" ca="1">IF(TREND(OFFSET($H17,0,'Sprint 2'!DoneDays-'Sprint 2'!TrendDays,1,'Sprint 2'!TrendDays),OFFSET($H20,0,'Sprint 2'!DoneDays-'Sprint 2'!TrendDays,1,'Sprint 2'!TrendDays),I20)&lt;0,"",TREND(OFFSET($H17,0,'Sprint 2'!DoneDays-'Sprint 2'!TrendDays,1,'Sprint 2'!TrendDays),OFFSET($H20,0,'Sprint 2'!DoneDays-'Sprint 2'!TrendDays,1,'Sprint 2'!TrendDays),I20))</f>
        <v>55.411111111111104</v>
      </c>
      <c r="J19" s="1">
        <f t="array" aca="1" ref="J19" ca="1">IF(TREND(OFFSET($H17,0,'Sprint 2'!DoneDays-'Sprint 2'!TrendDays,1,'Sprint 2'!TrendDays),OFFSET($H20,0,'Sprint 2'!DoneDays-'Sprint 2'!TrendDays,1,'Sprint 2'!TrendDays),J20)&lt;0,"",TREND(OFFSET($H17,0,'Sprint 2'!DoneDays-'Sprint 2'!TrendDays,1,'Sprint 2'!TrendDays),OFFSET($H20,0,'Sprint 2'!DoneDays-'Sprint 2'!TrendDays,1,'Sprint 2'!TrendDays),J20))</f>
        <v>47.977777777777774</v>
      </c>
      <c r="K19" s="1">
        <f t="array" aca="1" ref="K19" ca="1">IF(TREND(OFFSET($H17,0,'Sprint 2'!DoneDays-'Sprint 2'!TrendDays,1,'Sprint 2'!TrendDays),OFFSET($H20,0,'Sprint 2'!DoneDays-'Sprint 2'!TrendDays,1,'Sprint 2'!TrendDays),K20)&lt;0,"",TREND(OFFSET($H17,0,'Sprint 2'!DoneDays-'Sprint 2'!TrendDays,1,'Sprint 2'!TrendDays),OFFSET($H20,0,'Sprint 2'!DoneDays-'Sprint 2'!TrendDays,1,'Sprint 2'!TrendDays),K20))</f>
        <v>40.544444444444437</v>
      </c>
      <c r="L19" s="1">
        <f t="array" aca="1" ref="L19" ca="1">IF(TREND(OFFSET($H17,0,'Sprint 2'!DoneDays-'Sprint 2'!TrendDays,1,'Sprint 2'!TrendDays),OFFSET($H20,0,'Sprint 2'!DoneDays-'Sprint 2'!TrendDays,1,'Sprint 2'!TrendDays),L20)&lt;0,"",TREND(OFFSET($H17,0,'Sprint 2'!DoneDays-'Sprint 2'!TrendDays,1,'Sprint 2'!TrendDays),OFFSET($H20,0,'Sprint 2'!DoneDays-'Sprint 2'!TrendDays,1,'Sprint 2'!TrendDays),L20))</f>
        <v>33.111111111111107</v>
      </c>
      <c r="M19" s="1">
        <f t="array" aca="1" ref="M19" ca="1">IF(TREND(OFFSET($H17,0,'Sprint 2'!DoneDays-'Sprint 2'!TrendDays,1,'Sprint 2'!TrendDays),OFFSET($H20,0,'Sprint 2'!DoneDays-'Sprint 2'!TrendDays,1,'Sprint 2'!TrendDays),M20)&lt;0,"",TREND(OFFSET($H17,0,'Sprint 2'!DoneDays-'Sprint 2'!TrendDays,1,'Sprint 2'!TrendDays),OFFSET($H20,0,'Sprint 2'!DoneDays-'Sprint 2'!TrendDays,1,'Sprint 2'!TrendDays),M20))</f>
        <v>25.677777777777777</v>
      </c>
      <c r="N19" s="1">
        <f t="array" aca="1" ref="N19" ca="1">IF(TREND(OFFSET($H17,0,'Sprint 2'!DoneDays-'Sprint 2'!TrendDays,1,'Sprint 2'!TrendDays),OFFSET($H20,0,'Sprint 2'!DoneDays-'Sprint 2'!TrendDays,1,'Sprint 2'!TrendDays),N20)&lt;0,"",TREND(OFFSET($H17,0,'Sprint 2'!DoneDays-'Sprint 2'!TrendDays,1,'Sprint 2'!TrendDays),OFFSET($H20,0,'Sprint 2'!DoneDays-'Sprint 2'!TrendDays,1,'Sprint 2'!TrendDays),N20))</f>
        <v>18.24444444444444</v>
      </c>
      <c r="O19" s="1">
        <f t="array" aca="1" ref="O19" ca="1">IF(TREND(OFFSET($H17,0,'Sprint 2'!DoneDays-'Sprint 2'!TrendDays,1,'Sprint 2'!TrendDays),OFFSET($H20,0,'Sprint 2'!DoneDays-'Sprint 2'!TrendDays,1,'Sprint 2'!TrendDays),O20)&lt;0,"",TREND(OFFSET($H17,0,'Sprint 2'!DoneDays-'Sprint 2'!TrendDays,1,'Sprint 2'!TrendDays),OFFSET($H20,0,'Sprint 2'!DoneDays-'Sprint 2'!TrendDays,1,'Sprint 2'!TrendDays),O20))</f>
        <v>10.81111111111111</v>
      </c>
      <c r="P19" s="1">
        <f t="array" aca="1" ref="P19" ca="1">IF(TREND(OFFSET($H17,0,'Sprint 2'!DoneDays-'Sprint 2'!TrendDays,1,'Sprint 2'!TrendDays),OFFSET($H20,0,'Sprint 2'!DoneDays-'Sprint 2'!TrendDays,1,'Sprint 2'!TrendDays),P20)&lt;0,"",TREND(OFFSET($H17,0,'Sprint 2'!DoneDays-'Sprint 2'!TrendDays,1,'Sprint 2'!TrendDays),OFFSET($H20,0,'Sprint 2'!DoneDays-'Sprint 2'!TrendDays,1,'Sprint 2'!TrendDays),P20))</f>
        <v>3.37777777777778</v>
      </c>
      <c r="Q19" s="1" t="str">
        <f t="array" aca="1" ref="Q19" ca="1">IF(TREND(OFFSET($H17,0,'Sprint 2'!DoneDays-'Sprint 2'!TrendDays,1,'Sprint 2'!TrendDays),OFFSET($H20,0,'Sprint 2'!DoneDays-'Sprint 2'!TrendDays,1,'Sprint 2'!TrendDays),Q20)&lt;0,"",TREND(OFFSET($H17,0,'Sprint 2'!DoneDays-'Sprint 2'!TrendDays,1,'Sprint 2'!TrendDays),OFFSET($H20,0,'Sprint 2'!DoneDays-'Sprint 2'!TrendDays,1,'Sprint 2'!TrendDays),Q20))</f>
        <v/>
      </c>
      <c r="R19" s="1" t="str">
        <f t="array" aca="1" ref="R19" ca="1">IF(TREND(OFFSET($H17,0,'Sprint 2'!DoneDays-'Sprint 2'!TrendDays,1,'Sprint 2'!TrendDays),OFFSET($H20,0,'Sprint 2'!DoneDays-'Sprint 2'!TrendDays,1,'Sprint 2'!TrendDays),R20)&lt;0,"",TREND(OFFSET($H17,0,'Sprint 2'!DoneDays-'Sprint 2'!TrendDays,1,'Sprint 2'!TrendDays),OFFSET($H20,0,'Sprint 2'!DoneDays-'Sprint 2'!TrendDays,1,'Sprint 2'!TrendDays),R20))</f>
        <v/>
      </c>
      <c r="S19" s="1" t="str">
        <f t="array" aca="1" ref="S19" ca="1">IF(TREND(OFFSET($H17,0,'Sprint 2'!DoneDays-'Sprint 2'!TrendDays,1,'Sprint 2'!TrendDays),OFFSET($H20,0,'Sprint 2'!DoneDays-'Sprint 2'!TrendDays,1,'Sprint 2'!TrendDays),S20)&lt;0,"",TREND(OFFSET($H17,0,'Sprint 2'!DoneDays-'Sprint 2'!TrendDays,1,'Sprint 2'!TrendDays),OFFSET($H20,0,'Sprint 2'!DoneDays-'Sprint 2'!TrendDays,1,'Sprint 2'!TrendDays),S20))</f>
        <v/>
      </c>
      <c r="T19" s="1" t="str">
        <f t="array" aca="1" ref="T19" ca="1">IF(TREND(OFFSET($H17,0,'Sprint 2'!DoneDays-'Sprint 2'!TrendDays,1,'Sprint 2'!TrendDays),OFFSET($H20,0,'Sprint 2'!DoneDays-'Sprint 2'!TrendDays,1,'Sprint 2'!TrendDays),T20)&lt;0,"",TREND(OFFSET($H17,0,'Sprint 2'!DoneDays-'Sprint 2'!TrendDays,1,'Sprint 2'!TrendDays),OFFSET($H20,0,'Sprint 2'!DoneDays-'Sprint 2'!TrendDays,1,'Sprint 2'!TrendDays),T20))</f>
        <v/>
      </c>
      <c r="U19" s="1" t="str">
        <f t="array" aca="1" ref="U19" ca="1">IF(TREND(OFFSET($H17,0,'Sprint 2'!DoneDays-'Sprint 2'!TrendDays,1,'Sprint 2'!TrendDays),OFFSET($H20,0,'Sprint 2'!DoneDays-'Sprint 2'!TrendDays,1,'Sprint 2'!TrendDays),U20)&lt;0,"",TREND(OFFSET($H17,0,'Sprint 2'!DoneDays-'Sprint 2'!TrendDays,1,'Sprint 2'!TrendDays),OFFSET($H20,0,'Sprint 2'!DoneDays-'Sprint 2'!TrendDays,1,'Sprint 2'!TrendDays),U20))</f>
        <v/>
      </c>
      <c r="V19" s="1" t="str">
        <f t="array" aca="1" ref="V19" ca="1">IF(TREND(OFFSET($H17,0,'Sprint 2'!DoneDays-'Sprint 2'!TrendDays,1,'Sprint 2'!TrendDays),OFFSET($H20,0,'Sprint 2'!DoneDays-'Sprint 2'!TrendDays,1,'Sprint 2'!TrendDays),V20)&lt;0,"",TREND(OFFSET($H17,0,'Sprint 2'!DoneDays-'Sprint 2'!TrendDays,1,'Sprint 2'!TrendDays),OFFSET($H20,0,'Sprint 2'!DoneDays-'Sprint 2'!TrendDays,1,'Sprint 2'!TrendDays),V20))</f>
        <v/>
      </c>
      <c r="W19" s="1" t="str">
        <f t="array" aca="1" ref="W19" ca="1">IF(TREND(OFFSET($H17,0,'Sprint 2'!DoneDays-'Sprint 2'!TrendDays,1,'Sprint 2'!TrendDays),OFFSET($H20,0,'Sprint 2'!DoneDays-'Sprint 2'!TrendDays,1,'Sprint 2'!TrendDays),W20)&lt;0,"",TREND(OFFSET($H17,0,'Sprint 2'!DoneDays-'Sprint 2'!TrendDays,1,'Sprint 2'!TrendDays),OFFSET($H20,0,'Sprint 2'!DoneDays-'Sprint 2'!TrendDays,1,'Sprint 2'!TrendDays),W20))</f>
        <v/>
      </c>
      <c r="X19" s="1" t="str">
        <f t="array" aca="1" ref="X19" ca="1">IF(TREND(OFFSET($H17,0,'Sprint 2'!DoneDays-'Sprint 2'!TrendDays,1,'Sprint 2'!TrendDays),OFFSET($H20,0,'Sprint 2'!DoneDays-'Sprint 2'!TrendDays,1,'Sprint 2'!TrendDays),X20)&lt;0,"",TREND(OFFSET($H17,0,'Sprint 2'!DoneDays-'Sprint 2'!TrendDays,1,'Sprint 2'!TrendDays),OFFSET($H20,0,'Sprint 2'!DoneDays-'Sprint 2'!TrendDays,1,'Sprint 2'!TrendDays),X20))</f>
        <v/>
      </c>
      <c r="Y19" s="1" t="str">
        <f t="array" aca="1" ref="Y19" ca="1">IF(TREND(OFFSET($H17,0,'Sprint 2'!DoneDays-'Sprint 2'!TrendDays,1,'Sprint 2'!TrendDays),OFFSET($H20,0,'Sprint 2'!DoneDays-'Sprint 2'!TrendDays,1,'Sprint 2'!TrendDays),Y20)&lt;0,"",TREND(OFFSET($H17,0,'Sprint 2'!DoneDays-'Sprint 2'!TrendDays,1,'Sprint 2'!TrendDays),OFFSET($H20,0,'Sprint 2'!DoneDays-'Sprint 2'!TrendDays,1,'Sprint 2'!TrendDays),Y20))</f>
        <v/>
      </c>
      <c r="Z19" s="1" t="str">
        <f t="array" aca="1" ref="Z19" ca="1">IF(TREND(OFFSET($H17,0,'Sprint 2'!DoneDays-'Sprint 2'!TrendDays,1,'Sprint 2'!TrendDays),OFFSET($H20,0,'Sprint 2'!DoneDays-'Sprint 2'!TrendDays,1,'Sprint 2'!TrendDays),Z20)&lt;0,"",TREND(OFFSET($H17,0,'Sprint 2'!DoneDays-'Sprint 2'!TrendDays,1,'Sprint 2'!TrendDays),OFFSET($H20,0,'Sprint 2'!DoneDays-'Sprint 2'!TrendDays,1,'Sprint 2'!TrendDays),Z20))</f>
        <v/>
      </c>
      <c r="AA19" s="1" t="str">
        <f t="array" aca="1" ref="AA19" ca="1">IF(TREND(OFFSET($H17,0,'Sprint 2'!DoneDays-'Sprint 2'!TrendDays,1,'Sprint 2'!TrendDays),OFFSET($H20,0,'Sprint 2'!DoneDays-'Sprint 2'!TrendDays,1,'Sprint 2'!TrendDays),AA20)&lt;0,"",TREND(OFFSET($H17,0,'Sprint 2'!DoneDays-'Sprint 2'!TrendDays,1,'Sprint 2'!TrendDays),OFFSET($H20,0,'Sprint 2'!DoneDays-'Sprint 2'!TrendDays,1,'Sprint 2'!TrendDays),AA20))</f>
        <v/>
      </c>
      <c r="AB19" s="1" t="str">
        <f t="array" aca="1" ref="AB19" ca="1">IF(TREND(OFFSET($H17,0,'Sprint 2'!DoneDays-'Sprint 2'!TrendDays,1,'Sprint 2'!TrendDays),OFFSET($H20,0,'Sprint 2'!DoneDays-'Sprint 2'!TrendDays,1,'Sprint 2'!TrendDays),AB20)&lt;0,"",TREND(OFFSET($H17,0,'Sprint 2'!DoneDays-'Sprint 2'!TrendDays,1,'Sprint 2'!TrendDays),OFFSET($H20,0,'Sprint 2'!DoneDays-'Sprint 2'!TrendDays,1,'Sprint 2'!TrendDays),AB20))</f>
        <v/>
      </c>
      <c r="AC19" s="1" t="str">
        <f t="array" aca="1" ref="AC19" ca="1">IF(TREND(OFFSET($H17,0,'Sprint 2'!DoneDays-'Sprint 2'!TrendDays,1,'Sprint 2'!TrendDays),OFFSET($H20,0,'Sprint 2'!DoneDays-'Sprint 2'!TrendDays,1,'Sprint 2'!TrendDays),AC20)&lt;0,"",TREND(OFFSET($H17,0,'Sprint 2'!DoneDays-'Sprint 2'!TrendDays,1,'Sprint 2'!TrendDays),OFFSET($H20,0,'Sprint 2'!DoneDays-'Sprint 2'!TrendDays,1,'Sprint 2'!TrendDays),AC20))</f>
        <v/>
      </c>
      <c r="AD19" s="1" t="str">
        <f t="array" aca="1" ref="AD19" ca="1">IF(TREND(OFFSET($H17,0,'Sprint 2'!DoneDays-'Sprint 2'!TrendDays,1,'Sprint 2'!TrendDays),OFFSET($H20,0,'Sprint 2'!DoneDays-'Sprint 2'!TrendDays,1,'Sprint 2'!TrendDays),AD20)&lt;0,"",TREND(OFFSET($H17,0,'Sprint 2'!DoneDays-'Sprint 2'!TrendDays,1,'Sprint 2'!TrendDays),OFFSET($H20,0,'Sprint 2'!DoneDays-'Sprint 2'!TrendDays,1,'Sprint 2'!TrendDays),AD20))</f>
        <v/>
      </c>
      <c r="AE19" s="1" t="str">
        <f t="array" aca="1" ref="AE19" ca="1">IF(TREND(OFFSET($H17,0,'Sprint 2'!DoneDays-'Sprint 2'!TrendDays,1,'Sprint 2'!TrendDays),OFFSET($H20,0,'Sprint 2'!DoneDays-'Sprint 2'!TrendDays,1,'Sprint 2'!TrendDays),AE20)&lt;0,"",TREND(OFFSET($H17,0,'Sprint 2'!DoneDays-'Sprint 2'!TrendDays,1,'Sprint 2'!TrendDays),OFFSET($H20,0,'Sprint 2'!DoneDays-'Sprint 2'!TrendDays,1,'Sprint 2'!TrendDays),AE20))</f>
        <v/>
      </c>
      <c r="AF19" s="1" t="str">
        <f t="array" aca="1" ref="AF19" ca="1">IF(TREND(OFFSET($H17,0,'Sprint 2'!DoneDays-'Sprint 2'!TrendDays,1,'Sprint 2'!TrendDays),OFFSET($H20,0,'Sprint 2'!DoneDays-'Sprint 2'!TrendDays,1,'Sprint 2'!TrendDays),AF20)&lt;0,"",TREND(OFFSET($H17,0,'Sprint 2'!DoneDays-'Sprint 2'!TrendDays,1,'Sprint 2'!TrendDays),OFFSET($H20,0,'Sprint 2'!DoneDays-'Sprint 2'!TrendDays,1,'Sprint 2'!TrendDays),AF20))</f>
        <v/>
      </c>
    </row>
    <row r="20" spans="2:32" ht="12.75" hidden="1" customHeight="1" x14ac:dyDescent="0.2">
      <c r="C20" s="25" t="s">
        <v>16</v>
      </c>
      <c r="E20" s="21" t="s">
        <v>17</v>
      </c>
      <c r="F20" s="1">
        <f ca="1">IF('Sprint 2'!DoneDays&gt;D17,D17,'Sprint 2'!DoneDays)</f>
        <v>9</v>
      </c>
      <c r="G20" s="1"/>
      <c r="H20" s="1">
        <f ca="1">IF('Sprint 2'!DoneDays&gt;G20,G20+1,"")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ht="12.75" customHeight="1" x14ac:dyDescent="0.2">
      <c r="B21" s="22" t="s">
        <v>18</v>
      </c>
      <c r="C21" s="26" t="s">
        <v>19</v>
      </c>
      <c r="D21" s="26" t="s">
        <v>20</v>
      </c>
      <c r="E21" s="26" t="s">
        <v>21</v>
      </c>
      <c r="F21" s="26" t="s">
        <v>22</v>
      </c>
      <c r="G21" s="26" t="s">
        <v>23</v>
      </c>
      <c r="H21" s="26">
        <v>1</v>
      </c>
      <c r="I21" s="26">
        <f t="shared" ref="I21:AF21" si="0">IF($D$16&gt;H21,H21+1,"")</f>
        <v>2</v>
      </c>
      <c r="J21" s="26">
        <f t="shared" si="0"/>
        <v>3</v>
      </c>
      <c r="K21" s="26">
        <f t="shared" si="0"/>
        <v>4</v>
      </c>
      <c r="L21" s="26">
        <f t="shared" si="0"/>
        <v>5</v>
      </c>
      <c r="M21" s="26">
        <f t="shared" si="0"/>
        <v>6</v>
      </c>
      <c r="N21" s="26">
        <f t="shared" si="0"/>
        <v>7</v>
      </c>
      <c r="O21" s="26">
        <f t="shared" si="0"/>
        <v>8</v>
      </c>
      <c r="P21" s="26">
        <f t="shared" si="0"/>
        <v>9</v>
      </c>
      <c r="Q21" s="26">
        <f t="shared" si="0"/>
        <v>10</v>
      </c>
      <c r="R21" s="26" t="str">
        <f t="shared" si="0"/>
        <v/>
      </c>
      <c r="S21" s="26" t="str">
        <f t="shared" si="0"/>
        <v/>
      </c>
      <c r="T21" s="26" t="str">
        <f t="shared" si="0"/>
        <v/>
      </c>
      <c r="U21" s="26" t="str">
        <f t="shared" si="0"/>
        <v/>
      </c>
      <c r="V21" s="26" t="str">
        <f t="shared" si="0"/>
        <v/>
      </c>
      <c r="W21" s="26" t="str">
        <f t="shared" si="0"/>
        <v/>
      </c>
      <c r="X21" s="26" t="str">
        <f t="shared" si="0"/>
        <v/>
      </c>
      <c r="Y21" s="26" t="str">
        <f t="shared" si="0"/>
        <v/>
      </c>
      <c r="Z21" s="26" t="str">
        <f t="shared" si="0"/>
        <v/>
      </c>
      <c r="AA21" s="26" t="str">
        <f t="shared" si="0"/>
        <v/>
      </c>
      <c r="AB21" s="26" t="str">
        <f t="shared" si="0"/>
        <v/>
      </c>
      <c r="AC21" s="26" t="str">
        <f t="shared" si="0"/>
        <v/>
      </c>
      <c r="AD21" s="26" t="str">
        <f t="shared" si="0"/>
        <v/>
      </c>
      <c r="AE21" s="26" t="str">
        <f t="shared" si="0"/>
        <v/>
      </c>
      <c r="AF21" s="26" t="str">
        <f t="shared" si="0"/>
        <v/>
      </c>
    </row>
    <row r="22" spans="2:32" ht="12.75" customHeight="1" x14ac:dyDescent="0.2">
      <c r="B22" s="21">
        <v>1.1000000000000001</v>
      </c>
      <c r="C22" s="21" t="s">
        <v>44</v>
      </c>
      <c r="D22" s="1">
        <v>1</v>
      </c>
      <c r="E22" s="21" t="s">
        <v>45</v>
      </c>
      <c r="F22" s="21" t="s">
        <v>46</v>
      </c>
      <c r="G22" s="1">
        <v>15</v>
      </c>
      <c r="H22" s="1">
        <f t="shared" ref="H22:H66" si="1">IF(OR(H$21="",$G22=""),"",G22)</f>
        <v>15</v>
      </c>
      <c r="I22" s="1">
        <v>13</v>
      </c>
      <c r="J22" s="1">
        <v>11</v>
      </c>
      <c r="K22" s="1">
        <v>9</v>
      </c>
      <c r="L22" s="1">
        <v>7</v>
      </c>
      <c r="M22" s="1">
        <v>5</v>
      </c>
      <c r="N22" s="1">
        <v>3</v>
      </c>
      <c r="O22" s="1">
        <v>2</v>
      </c>
      <c r="P22" s="1">
        <v>1</v>
      </c>
      <c r="Q22" s="1"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spans="2:32" ht="12.75" customHeight="1" x14ac:dyDescent="0.2">
      <c r="B23" s="21">
        <v>1.2</v>
      </c>
      <c r="C23" s="21" t="s">
        <v>47</v>
      </c>
      <c r="D23" s="1">
        <v>1</v>
      </c>
      <c r="E23" s="21" t="s">
        <v>48</v>
      </c>
      <c r="F23" s="21" t="s">
        <v>27</v>
      </c>
      <c r="G23" s="1">
        <v>17</v>
      </c>
      <c r="H23" s="1">
        <f t="shared" si="1"/>
        <v>17</v>
      </c>
      <c r="I23" s="1">
        <v>15</v>
      </c>
      <c r="J23" s="1">
        <v>14</v>
      </c>
      <c r="K23" s="1">
        <v>13</v>
      </c>
      <c r="L23" s="1">
        <v>11</v>
      </c>
      <c r="M23" s="1">
        <v>8</v>
      </c>
      <c r="N23" s="1">
        <v>5</v>
      </c>
      <c r="O23" s="1">
        <v>3</v>
      </c>
      <c r="P23" s="1">
        <v>2</v>
      </c>
      <c r="Q23" s="1"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3">IF(OR(AE$21="",$G23=""),"",AD23)</f>
        <v/>
      </c>
      <c r="AF23" s="1" t="str">
        <f t="shared" si="3"/>
        <v/>
      </c>
    </row>
    <row r="24" spans="2:32" ht="12.75" customHeight="1" x14ac:dyDescent="0.2">
      <c r="B24" s="21">
        <v>2.1</v>
      </c>
      <c r="C24" s="21" t="s">
        <v>49</v>
      </c>
      <c r="D24" s="1">
        <v>2</v>
      </c>
      <c r="E24" s="21" t="s">
        <v>50</v>
      </c>
      <c r="F24" s="21" t="s">
        <v>27</v>
      </c>
      <c r="G24" s="1">
        <v>12</v>
      </c>
      <c r="H24" s="1">
        <f t="shared" si="1"/>
        <v>12</v>
      </c>
      <c r="I24" s="1">
        <v>10</v>
      </c>
      <c r="J24" s="1">
        <v>9</v>
      </c>
      <c r="K24" s="1">
        <v>8</v>
      </c>
      <c r="L24" s="1">
        <v>6</v>
      </c>
      <c r="M24" s="1">
        <v>4</v>
      </c>
      <c r="N24" s="1">
        <v>3</v>
      </c>
      <c r="O24" s="1">
        <v>2</v>
      </c>
      <c r="P24" s="1">
        <v>1</v>
      </c>
      <c r="Q24" s="1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4">IF(OR(AE$21="",$G24=""),"",AD24)</f>
        <v/>
      </c>
      <c r="AF24" s="1" t="str">
        <f t="shared" si="4"/>
        <v/>
      </c>
    </row>
    <row r="25" spans="2:32" ht="12.75" customHeight="1" x14ac:dyDescent="0.2">
      <c r="B25" s="21">
        <v>2.2000000000000002</v>
      </c>
      <c r="C25" s="21" t="s">
        <v>51</v>
      </c>
      <c r="D25" s="1">
        <v>2</v>
      </c>
      <c r="E25" s="21" t="s">
        <v>52</v>
      </c>
      <c r="F25" s="21" t="s">
        <v>38</v>
      </c>
      <c r="G25" s="1">
        <v>18</v>
      </c>
      <c r="H25" s="1">
        <f t="shared" si="1"/>
        <v>18</v>
      </c>
      <c r="I25" s="1">
        <v>17</v>
      </c>
      <c r="J25" s="1">
        <v>15</v>
      </c>
      <c r="K25" s="1">
        <v>13</v>
      </c>
      <c r="L25" s="1">
        <v>10</v>
      </c>
      <c r="M25" s="1">
        <v>7</v>
      </c>
      <c r="N25" s="1">
        <v>4</v>
      </c>
      <c r="O25" s="1">
        <v>3</v>
      </c>
      <c r="P25" s="1">
        <v>2</v>
      </c>
      <c r="Q25" s="1"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5">IF(OR(AE$21="",$G25=""),"",AD25)</f>
        <v/>
      </c>
      <c r="AF25" s="1" t="str">
        <f t="shared" si="5"/>
        <v/>
      </c>
    </row>
    <row r="26" spans="2:32" ht="12.75" customHeight="1" x14ac:dyDescent="0.2">
      <c r="D26" s="1"/>
      <c r="F26" s="21" t="str">
        <f t="shared" ref="F26:F63" si="6">IF(C26&lt;&gt;"","Planned","")</f>
        <v/>
      </c>
      <c r="G26" s="1"/>
      <c r="H26" s="1" t="str">
        <f t="shared" si="1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7">IF(OR(AE$21="",$G26=""),"",AD26)</f>
        <v/>
      </c>
      <c r="AF26" s="1" t="str">
        <f t="shared" si="7"/>
        <v/>
      </c>
    </row>
    <row r="27" spans="2:32" ht="12.75" customHeight="1" x14ac:dyDescent="0.2">
      <c r="D27" s="1"/>
      <c r="F27" s="21" t="str">
        <f t="shared" si="6"/>
        <v/>
      </c>
      <c r="G27" s="1"/>
      <c r="H27" s="1" t="str">
        <f t="shared" si="1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8">IF(OR(AE$21="",$G27=""),"",AD27)</f>
        <v/>
      </c>
      <c r="AF27" s="1" t="str">
        <f t="shared" si="8"/>
        <v/>
      </c>
    </row>
    <row r="28" spans="2:32" ht="12.75" customHeight="1" x14ac:dyDescent="0.2">
      <c r="D28" s="1"/>
      <c r="F28" s="21" t="str">
        <f t="shared" si="6"/>
        <v/>
      </c>
      <c r="G28" s="1"/>
      <c r="H28" s="1" t="str">
        <f t="shared" si="1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9">IF(OR(AE$21="",$G28=""),"",AD28)</f>
        <v/>
      </c>
      <c r="AF28" s="1" t="str">
        <f t="shared" si="9"/>
        <v/>
      </c>
    </row>
    <row r="29" spans="2:32" ht="12.75" customHeight="1" x14ac:dyDescent="0.2">
      <c r="D29" s="1"/>
      <c r="F29" s="21" t="str">
        <f t="shared" si="6"/>
        <v/>
      </c>
      <c r="G29" s="1"/>
      <c r="H29" s="1" t="str">
        <f t="shared" si="1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10">IF(OR(AE$21="",$G29=""),"",AD29)</f>
        <v/>
      </c>
      <c r="AF29" s="1" t="str">
        <f t="shared" si="10"/>
        <v/>
      </c>
    </row>
    <row r="30" spans="2:32" ht="12.75" customHeight="1" x14ac:dyDescent="0.2">
      <c r="D30" s="1"/>
      <c r="F30" s="21" t="str">
        <f t="shared" si="6"/>
        <v/>
      </c>
      <c r="G30" s="1"/>
      <c r="H30" s="1" t="str">
        <f t="shared" si="1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1">IF(OR(AE$21="",$G30=""),"",AD30)</f>
        <v/>
      </c>
      <c r="AF30" s="1" t="str">
        <f t="shared" si="11"/>
        <v/>
      </c>
    </row>
    <row r="31" spans="2:32" ht="12.75" customHeight="1" x14ac:dyDescent="0.2">
      <c r="D31" s="1"/>
      <c r="F31" s="21" t="str">
        <f t="shared" si="6"/>
        <v/>
      </c>
      <c r="G31" s="1"/>
      <c r="H31" s="1" t="str">
        <f t="shared" si="1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2">IF(OR(AE$21="",$G31=""),"",AD31)</f>
        <v/>
      </c>
      <c r="AF31" s="1" t="str">
        <f t="shared" si="12"/>
        <v/>
      </c>
    </row>
    <row r="32" spans="2:32" ht="12.75" customHeight="1" x14ac:dyDescent="0.2">
      <c r="D32" s="1"/>
      <c r="F32" s="21" t="str">
        <f t="shared" si="6"/>
        <v/>
      </c>
      <c r="G32" s="1"/>
      <c r="H32" s="1" t="str">
        <f t="shared" si="1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3">IF(OR(AE$21="",$G32=""),"",AD32)</f>
        <v/>
      </c>
      <c r="AF32" s="1" t="str">
        <f t="shared" si="13"/>
        <v/>
      </c>
    </row>
    <row r="33" spans="4:32" ht="12.75" customHeight="1" x14ac:dyDescent="0.2">
      <c r="D33" s="1"/>
      <c r="F33" s="21" t="str">
        <f t="shared" si="6"/>
        <v/>
      </c>
      <c r="G33" s="1"/>
      <c r="H33" s="1" t="str">
        <f t="shared" si="1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4">IF(OR(AE$21="",$G33=""),"",AD33)</f>
        <v/>
      </c>
      <c r="AF33" s="1" t="str">
        <f t="shared" si="14"/>
        <v/>
      </c>
    </row>
    <row r="34" spans="4:32" ht="12.75" customHeight="1" x14ac:dyDescent="0.2">
      <c r="D34" s="1"/>
      <c r="F34" s="21" t="str">
        <f t="shared" si="6"/>
        <v/>
      </c>
      <c r="G34" s="1"/>
      <c r="H34" s="1" t="str">
        <f t="shared" si="1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5">IF(OR(AE$21="",$G34=""),"",AD34)</f>
        <v/>
      </c>
      <c r="AF34" s="1" t="str">
        <f t="shared" si="15"/>
        <v/>
      </c>
    </row>
    <row r="35" spans="4:32" ht="12.75" customHeight="1" x14ac:dyDescent="0.2">
      <c r="D35" s="1"/>
      <c r="F35" s="21" t="str">
        <f t="shared" si="6"/>
        <v/>
      </c>
      <c r="G35" s="1"/>
      <c r="H35" s="1" t="str">
        <f t="shared" si="1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6">IF(OR(AE$21="",$G35=""),"",AD35)</f>
        <v/>
      </c>
      <c r="AF35" s="1" t="str">
        <f t="shared" si="16"/>
        <v/>
      </c>
    </row>
    <row r="36" spans="4:32" ht="12.75" customHeight="1" x14ac:dyDescent="0.2">
      <c r="D36" s="1"/>
      <c r="F36" s="21" t="str">
        <f t="shared" si="6"/>
        <v/>
      </c>
      <c r="G36" s="1"/>
      <c r="H36" s="1" t="str">
        <f t="shared" si="1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7">IF(OR(AE$21="",$G36=""),"",AD36)</f>
        <v/>
      </c>
      <c r="AF36" s="1" t="str">
        <f t="shared" si="17"/>
        <v/>
      </c>
    </row>
    <row r="37" spans="4:32" ht="12.75" customHeight="1" x14ac:dyDescent="0.2">
      <c r="D37" s="1"/>
      <c r="F37" s="21" t="str">
        <f t="shared" si="6"/>
        <v/>
      </c>
      <c r="G37" s="1"/>
      <c r="H37" s="1" t="str">
        <f t="shared" si="1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8">IF(OR(AE$21="",$G37=""),"",AD37)</f>
        <v/>
      </c>
      <c r="AF37" s="1" t="str">
        <f t="shared" si="18"/>
        <v/>
      </c>
    </row>
    <row r="38" spans="4:32" ht="12.75" customHeight="1" x14ac:dyDescent="0.2">
      <c r="D38" s="1"/>
      <c r="F38" s="21" t="str">
        <f t="shared" si="6"/>
        <v/>
      </c>
      <c r="G38" s="1"/>
      <c r="H38" s="1" t="str">
        <f t="shared" si="1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19">IF(OR(AE$21="",$G38=""),"",AD38)</f>
        <v/>
      </c>
      <c r="AF38" s="1" t="str">
        <f t="shared" si="19"/>
        <v/>
      </c>
    </row>
    <row r="39" spans="4:32" ht="12.75" customHeight="1" x14ac:dyDescent="0.2">
      <c r="D39" s="1"/>
      <c r="F39" s="21" t="str">
        <f t="shared" si="6"/>
        <v/>
      </c>
      <c r="G39" s="1"/>
      <c r="H39" s="1" t="str">
        <f t="shared" si="1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0">IF(OR(AE$21="",$G39=""),"",AD39)</f>
        <v/>
      </c>
      <c r="AF39" s="1" t="str">
        <f t="shared" si="20"/>
        <v/>
      </c>
    </row>
    <row r="40" spans="4:32" ht="12.75" customHeight="1" x14ac:dyDescent="0.2">
      <c r="D40" s="1"/>
      <c r="F40" s="21" t="str">
        <f t="shared" si="6"/>
        <v/>
      </c>
      <c r="G40" s="1"/>
      <c r="H40" s="1" t="str">
        <f t="shared" si="1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1">IF(OR(AE$21="",$G40=""),"",AD40)</f>
        <v/>
      </c>
      <c r="AF40" s="1" t="str">
        <f t="shared" si="21"/>
        <v/>
      </c>
    </row>
    <row r="41" spans="4:32" ht="12.75" customHeight="1" x14ac:dyDescent="0.2">
      <c r="D41" s="1"/>
      <c r="F41" s="21" t="str">
        <f t="shared" si="6"/>
        <v/>
      </c>
      <c r="G41" s="1"/>
      <c r="H41" s="1" t="str">
        <f t="shared" si="1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2">IF(OR(AE$21="",$G41=""),"",AD41)</f>
        <v/>
      </c>
      <c r="AF41" s="1" t="str">
        <f t="shared" si="22"/>
        <v/>
      </c>
    </row>
    <row r="42" spans="4:32" ht="12.75" customHeight="1" x14ac:dyDescent="0.2">
      <c r="D42" s="1"/>
      <c r="F42" s="21" t="str">
        <f t="shared" si="6"/>
        <v/>
      </c>
      <c r="G42" s="1"/>
      <c r="H42" s="1" t="str">
        <f t="shared" si="1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3">IF(OR(AE$21="",$G42=""),"",AD42)</f>
        <v/>
      </c>
      <c r="AF42" s="1" t="str">
        <f t="shared" si="23"/>
        <v/>
      </c>
    </row>
    <row r="43" spans="4:32" ht="12.75" customHeight="1" x14ac:dyDescent="0.2">
      <c r="D43" s="1"/>
      <c r="F43" s="21" t="str">
        <f t="shared" si="6"/>
        <v/>
      </c>
      <c r="G43" s="1"/>
      <c r="H43" s="1" t="str">
        <f t="shared" si="1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4">IF(OR(AE$21="",$G43=""),"",AD43)</f>
        <v/>
      </c>
      <c r="AF43" s="1" t="str">
        <f t="shared" si="24"/>
        <v/>
      </c>
    </row>
    <row r="44" spans="4:32" ht="12.75" customHeight="1" x14ac:dyDescent="0.2">
      <c r="D44" s="1"/>
      <c r="F44" s="21" t="str">
        <f t="shared" si="6"/>
        <v/>
      </c>
      <c r="G44" s="1"/>
      <c r="H44" s="1" t="str">
        <f t="shared" si="1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5">IF(OR(AE$21="",$G44=""),"",AD44)</f>
        <v/>
      </c>
      <c r="AF44" s="1" t="str">
        <f t="shared" si="25"/>
        <v/>
      </c>
    </row>
    <row r="45" spans="4:32" ht="12.75" customHeight="1" x14ac:dyDescent="0.2">
      <c r="D45" s="1"/>
      <c r="F45" s="21" t="str">
        <f t="shared" si="6"/>
        <v/>
      </c>
      <c r="G45" s="1"/>
      <c r="H45" s="1" t="str">
        <f t="shared" si="1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6">IF(OR(AE$21="",$G45=""),"",AD45)</f>
        <v/>
      </c>
      <c r="AF45" s="1" t="str">
        <f t="shared" si="26"/>
        <v/>
      </c>
    </row>
    <row r="46" spans="4:32" ht="12.75" customHeight="1" x14ac:dyDescent="0.2">
      <c r="D46" s="1"/>
      <c r="F46" s="21" t="str">
        <f t="shared" si="6"/>
        <v/>
      </c>
      <c r="G46" s="1"/>
      <c r="H46" s="1" t="str">
        <f t="shared" si="1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7">IF(OR(AE$21="",$G46=""),"",AD46)</f>
        <v/>
      </c>
      <c r="AF46" s="1" t="str">
        <f t="shared" si="27"/>
        <v/>
      </c>
    </row>
    <row r="47" spans="4:32" ht="12.75" customHeight="1" x14ac:dyDescent="0.2">
      <c r="D47" s="1"/>
      <c r="F47" s="21" t="str">
        <f t="shared" si="6"/>
        <v/>
      </c>
      <c r="G47" s="1"/>
      <c r="H47" s="1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8">IF(OR(AE$21="",$G47=""),"",AD47)</f>
        <v/>
      </c>
      <c r="AF47" s="1" t="str">
        <f t="shared" si="28"/>
        <v/>
      </c>
    </row>
    <row r="48" spans="4:32" ht="12.75" customHeight="1" x14ac:dyDescent="0.2">
      <c r="D48" s="1"/>
      <c r="F48" s="21" t="str">
        <f t="shared" si="6"/>
        <v/>
      </c>
      <c r="G48" s="1"/>
      <c r="H48" s="1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29">IF(OR(AE$21="",$G48=""),"",AD48)</f>
        <v/>
      </c>
      <c r="AF48" s="1" t="str">
        <f t="shared" si="29"/>
        <v/>
      </c>
    </row>
    <row r="49" spans="4:32" ht="12.75" customHeight="1" x14ac:dyDescent="0.2">
      <c r="D49" s="1"/>
      <c r="F49" s="21" t="str">
        <f t="shared" si="6"/>
        <v/>
      </c>
      <c r="G49" s="1"/>
      <c r="H49" s="1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0">IF(OR(AE$21="",$G49=""),"",AD49)</f>
        <v/>
      </c>
      <c r="AF49" s="1" t="str">
        <f t="shared" si="30"/>
        <v/>
      </c>
    </row>
    <row r="50" spans="4:32" ht="12.75" customHeight="1" x14ac:dyDescent="0.2">
      <c r="D50" s="1"/>
      <c r="F50" s="21" t="str">
        <f t="shared" si="6"/>
        <v/>
      </c>
      <c r="G50" s="1"/>
      <c r="H50" s="1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1">IF(OR(AE$21="",$G50=""),"",AD50)</f>
        <v/>
      </c>
      <c r="AF50" s="1" t="str">
        <f t="shared" si="31"/>
        <v/>
      </c>
    </row>
    <row r="51" spans="4:32" ht="12.75" customHeight="1" x14ac:dyDescent="0.2">
      <c r="D51" s="1"/>
      <c r="F51" s="21" t="str">
        <f t="shared" si="6"/>
        <v/>
      </c>
      <c r="G51" s="1"/>
      <c r="H51" s="1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2">IF(OR(AE$21="",$G51=""),"",AD51)</f>
        <v/>
      </c>
      <c r="AF51" s="1" t="str">
        <f t="shared" si="32"/>
        <v/>
      </c>
    </row>
    <row r="52" spans="4:32" ht="12.75" customHeight="1" x14ac:dyDescent="0.2">
      <c r="D52" s="1"/>
      <c r="F52" s="21" t="str">
        <f t="shared" si="6"/>
        <v/>
      </c>
      <c r="G52" s="1"/>
      <c r="H52" s="1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3">IF(OR(AE$21="",$G52=""),"",AD52)</f>
        <v/>
      </c>
      <c r="AF52" s="1" t="str">
        <f t="shared" si="33"/>
        <v/>
      </c>
    </row>
    <row r="53" spans="4:32" ht="12.75" customHeight="1" x14ac:dyDescent="0.2">
      <c r="D53" s="1"/>
      <c r="F53" s="21" t="str">
        <f t="shared" si="6"/>
        <v/>
      </c>
      <c r="G53" s="1"/>
      <c r="H53" s="1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4">IF(OR(AE$21="",$G53=""),"",AD53)</f>
        <v/>
      </c>
      <c r="AF53" s="1" t="str">
        <f t="shared" si="34"/>
        <v/>
      </c>
    </row>
    <row r="54" spans="4:32" ht="12.75" customHeight="1" x14ac:dyDescent="0.2">
      <c r="D54" s="1"/>
      <c r="F54" s="21" t="str">
        <f t="shared" si="6"/>
        <v/>
      </c>
      <c r="G54" s="1"/>
      <c r="H54" s="1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5">IF(OR(AE$21="",$G54=""),"",AD54)</f>
        <v/>
      </c>
      <c r="AF54" s="1" t="str">
        <f t="shared" si="35"/>
        <v/>
      </c>
    </row>
    <row r="55" spans="4:32" ht="12.75" customHeight="1" x14ac:dyDescent="0.2">
      <c r="D55" s="1"/>
      <c r="F55" s="21" t="str">
        <f t="shared" si="6"/>
        <v/>
      </c>
      <c r="G55" s="1"/>
      <c r="H55" s="1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6">IF(OR(AE$21="",$G55=""),"",AD55)</f>
        <v/>
      </c>
      <c r="AF55" s="1" t="str">
        <f t="shared" si="36"/>
        <v/>
      </c>
    </row>
    <row r="56" spans="4:32" ht="12.75" customHeight="1" x14ac:dyDescent="0.2">
      <c r="D56" s="1"/>
      <c r="F56" s="21" t="str">
        <f t="shared" si="6"/>
        <v/>
      </c>
      <c r="G56" s="1"/>
      <c r="H56" s="1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7">IF(OR(AE$21="",$G56=""),"",AD56)</f>
        <v/>
      </c>
      <c r="AF56" s="1" t="str">
        <f t="shared" si="37"/>
        <v/>
      </c>
    </row>
    <row r="57" spans="4:32" ht="12.75" customHeight="1" x14ac:dyDescent="0.2">
      <c r="D57" s="1"/>
      <c r="F57" s="21" t="str">
        <f t="shared" si="6"/>
        <v/>
      </c>
      <c r="G57" s="1"/>
      <c r="H57" s="1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8">IF(OR(AE$21="",$G57=""),"",AD57)</f>
        <v/>
      </c>
      <c r="AF57" s="1" t="str">
        <f t="shared" si="38"/>
        <v/>
      </c>
    </row>
    <row r="58" spans="4:32" ht="12.75" customHeight="1" x14ac:dyDescent="0.2">
      <c r="D58" s="1"/>
      <c r="F58" s="21" t="str">
        <f t="shared" si="6"/>
        <v/>
      </c>
      <c r="G58" s="1"/>
      <c r="H58" s="1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39">IF(OR(AE$21="",$G58=""),"",AD58)</f>
        <v/>
      </c>
      <c r="AF58" s="1" t="str">
        <f t="shared" si="39"/>
        <v/>
      </c>
    </row>
    <row r="59" spans="4:32" ht="12.75" customHeight="1" x14ac:dyDescent="0.2">
      <c r="D59" s="1"/>
      <c r="F59" s="21" t="str">
        <f t="shared" si="6"/>
        <v/>
      </c>
      <c r="G59" s="1"/>
      <c r="H59" s="1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0">IF(OR(AE$21="",$G59=""),"",AD59)</f>
        <v/>
      </c>
      <c r="AF59" s="1" t="str">
        <f t="shared" si="40"/>
        <v/>
      </c>
    </row>
    <row r="60" spans="4:32" ht="12.75" customHeight="1" x14ac:dyDescent="0.2">
      <c r="D60" s="1"/>
      <c r="F60" s="21" t="str">
        <f t="shared" si="6"/>
        <v/>
      </c>
      <c r="G60" s="1"/>
      <c r="H60" s="1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1">IF(OR(AE$21="",$G60=""),"",AD60)</f>
        <v/>
      </c>
      <c r="AF60" s="1" t="str">
        <f t="shared" si="41"/>
        <v/>
      </c>
    </row>
    <row r="61" spans="4:32" ht="12.75" customHeight="1" x14ac:dyDescent="0.2">
      <c r="D61" s="1"/>
      <c r="F61" s="21" t="str">
        <f t="shared" si="6"/>
        <v/>
      </c>
      <c r="G61" s="1"/>
      <c r="H61" s="1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2">IF(OR(AE$21="",$G61=""),"",AD61)</f>
        <v/>
      </c>
      <c r="AF61" s="1" t="str">
        <f t="shared" si="42"/>
        <v/>
      </c>
    </row>
    <row r="62" spans="4:32" ht="12.75" customHeight="1" x14ac:dyDescent="0.2">
      <c r="D62" s="1"/>
      <c r="F62" s="21" t="str">
        <f t="shared" si="6"/>
        <v/>
      </c>
      <c r="G62" s="1"/>
      <c r="H62" s="1" t="str">
        <f t="shared" si="1"/>
        <v/>
      </c>
      <c r="I62" s="1" t="str">
        <f t="shared" ref="I62:AF62" si="43">IF(OR(I$21="",$G62=""),"",H62)</f>
        <v/>
      </c>
      <c r="J62" s="1" t="str">
        <f t="shared" si="43"/>
        <v/>
      </c>
      <c r="K62" s="1" t="str">
        <f t="shared" si="43"/>
        <v/>
      </c>
      <c r="L62" s="1" t="str">
        <f t="shared" si="43"/>
        <v/>
      </c>
      <c r="M62" s="1" t="str">
        <f t="shared" si="43"/>
        <v/>
      </c>
      <c r="N62" s="1" t="str">
        <f t="shared" si="43"/>
        <v/>
      </c>
      <c r="O62" s="1" t="str">
        <f t="shared" si="43"/>
        <v/>
      </c>
      <c r="P62" s="1" t="str">
        <f t="shared" si="43"/>
        <v/>
      </c>
      <c r="Q62" s="1" t="str">
        <f t="shared" si="43"/>
        <v/>
      </c>
      <c r="R62" s="1" t="str">
        <f t="shared" si="43"/>
        <v/>
      </c>
      <c r="S62" s="1" t="str">
        <f t="shared" si="43"/>
        <v/>
      </c>
      <c r="T62" s="1" t="str">
        <f t="shared" si="43"/>
        <v/>
      </c>
      <c r="U62" s="1" t="str">
        <f t="shared" si="43"/>
        <v/>
      </c>
      <c r="V62" s="1" t="str">
        <f t="shared" si="43"/>
        <v/>
      </c>
      <c r="W62" s="1" t="str">
        <f t="shared" si="43"/>
        <v/>
      </c>
      <c r="X62" s="1" t="str">
        <f t="shared" si="43"/>
        <v/>
      </c>
      <c r="Y62" s="1" t="str">
        <f t="shared" si="43"/>
        <v/>
      </c>
      <c r="Z62" s="1" t="str">
        <f t="shared" si="43"/>
        <v/>
      </c>
      <c r="AA62" s="1" t="str">
        <f t="shared" si="43"/>
        <v/>
      </c>
      <c r="AB62" s="1" t="str">
        <f t="shared" si="43"/>
        <v/>
      </c>
      <c r="AC62" s="1" t="str">
        <f t="shared" si="43"/>
        <v/>
      </c>
      <c r="AD62" s="1" t="str">
        <f t="shared" si="43"/>
        <v/>
      </c>
      <c r="AE62" s="1" t="str">
        <f t="shared" si="43"/>
        <v/>
      </c>
      <c r="AF62" s="1" t="str">
        <f t="shared" si="43"/>
        <v/>
      </c>
    </row>
    <row r="63" spans="4:32" ht="12.75" customHeight="1" x14ac:dyDescent="0.2">
      <c r="D63" s="1"/>
      <c r="F63" s="21" t="str">
        <f t="shared" si="6"/>
        <v/>
      </c>
      <c r="G63" s="1"/>
      <c r="H63" s="1" t="str">
        <f t="shared" si="1"/>
        <v/>
      </c>
      <c r="I63" s="1" t="str">
        <f t="shared" ref="I63:AF63" si="44">IF(OR(I$21="",$G63=""),"",H63)</f>
        <v/>
      </c>
      <c r="J63" s="1" t="str">
        <f t="shared" si="44"/>
        <v/>
      </c>
      <c r="K63" s="1" t="str">
        <f t="shared" si="44"/>
        <v/>
      </c>
      <c r="L63" s="1" t="str">
        <f t="shared" si="44"/>
        <v/>
      </c>
      <c r="M63" s="1" t="str">
        <f t="shared" si="44"/>
        <v/>
      </c>
      <c r="N63" s="1" t="str">
        <f t="shared" si="44"/>
        <v/>
      </c>
      <c r="O63" s="1" t="str">
        <f t="shared" si="44"/>
        <v/>
      </c>
      <c r="P63" s="1" t="str">
        <f t="shared" si="44"/>
        <v/>
      </c>
      <c r="Q63" s="1" t="str">
        <f t="shared" si="44"/>
        <v/>
      </c>
      <c r="R63" s="1" t="str">
        <f t="shared" si="44"/>
        <v/>
      </c>
      <c r="S63" s="1" t="str">
        <f t="shared" si="44"/>
        <v/>
      </c>
      <c r="T63" s="1" t="str">
        <f t="shared" si="44"/>
        <v/>
      </c>
      <c r="U63" s="1" t="str">
        <f t="shared" si="44"/>
        <v/>
      </c>
      <c r="V63" s="1" t="str">
        <f t="shared" si="44"/>
        <v/>
      </c>
      <c r="W63" s="1" t="str">
        <f t="shared" si="44"/>
        <v/>
      </c>
      <c r="X63" s="1" t="str">
        <f t="shared" si="44"/>
        <v/>
      </c>
      <c r="Y63" s="1" t="str">
        <f t="shared" si="44"/>
        <v/>
      </c>
      <c r="Z63" s="1" t="str">
        <f t="shared" si="44"/>
        <v/>
      </c>
      <c r="AA63" s="1" t="str">
        <f t="shared" si="44"/>
        <v/>
      </c>
      <c r="AB63" s="1" t="str">
        <f t="shared" si="44"/>
        <v/>
      </c>
      <c r="AC63" s="1" t="str">
        <f t="shared" si="44"/>
        <v/>
      </c>
      <c r="AD63" s="1" t="str">
        <f t="shared" si="44"/>
        <v/>
      </c>
      <c r="AE63" s="1" t="str">
        <f t="shared" si="44"/>
        <v/>
      </c>
      <c r="AF63" s="1" t="str">
        <f t="shared" si="44"/>
        <v/>
      </c>
    </row>
    <row r="64" spans="4:32" ht="12.75" customHeight="1" x14ac:dyDescent="0.2">
      <c r="D64" s="1"/>
      <c r="F64" s="21" t="s">
        <v>41</v>
      </c>
      <c r="G64" s="1"/>
      <c r="H64" s="1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5">IF(OR(AE$21="",$G64=""),"",AD64)</f>
        <v/>
      </c>
      <c r="AF64" s="1" t="str">
        <f t="shared" si="45"/>
        <v/>
      </c>
    </row>
    <row r="65" spans="1:33" ht="12.75" customHeight="1" x14ac:dyDescent="0.2">
      <c r="D65" s="1"/>
      <c r="F65" s="21" t="s">
        <v>42</v>
      </c>
      <c r="G65" s="1"/>
      <c r="H65" s="1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6">IF(OR(AE$21="",$G65=""),"",AD65)</f>
        <v/>
      </c>
      <c r="AF65" s="1" t="str">
        <f t="shared" si="46"/>
        <v/>
      </c>
    </row>
    <row r="66" spans="1:33" ht="12.75" customHeight="1" x14ac:dyDescent="0.2">
      <c r="D66" s="1"/>
      <c r="F66" s="21" t="s">
        <v>43</v>
      </c>
      <c r="G66" s="1"/>
      <c r="H66" s="1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3" ht="12.75" customHeight="1" x14ac:dyDescent="0.2">
      <c r="D67" s="1"/>
      <c r="F67" s="2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3" ht="12.75" customHeight="1" x14ac:dyDescent="0.2">
      <c r="D68" s="1"/>
      <c r="F68" s="2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3" ht="12.75" customHeight="1" x14ac:dyDescent="0.2">
      <c r="D69" s="1"/>
      <c r="F69" s="2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3" ht="12.75" customHeight="1" x14ac:dyDescent="0.2">
      <c r="D70" s="1"/>
      <c r="F70" s="2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3" ht="12.75" customHeight="1" x14ac:dyDescent="0.2">
      <c r="A71" s="1"/>
      <c r="D71" s="1"/>
      <c r="F71" s="21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 x14ac:dyDescent="0.2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3" ht="12.75" customHeight="1" x14ac:dyDescent="0.2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3" ht="12.75" customHeight="1" x14ac:dyDescent="0.2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3" ht="12.75" customHeight="1" x14ac:dyDescent="0.2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3" ht="12.75" customHeight="1" x14ac:dyDescent="0.2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3" ht="12.75" customHeight="1" x14ac:dyDescent="0.2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3" ht="12.75" customHeight="1" x14ac:dyDescent="0.2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3" ht="12.75" customHeight="1" x14ac:dyDescent="0.2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3" ht="12.75" customHeight="1" x14ac:dyDescent="0.2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4:32" ht="12.75" customHeight="1" x14ac:dyDescent="0.2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4:32" ht="12.75" customHeight="1" x14ac:dyDescent="0.2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4:32" ht="12.75" customHeight="1" x14ac:dyDescent="0.2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4:32" ht="12.75" customHeight="1" x14ac:dyDescent="0.2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4:32" ht="12.75" customHeight="1" x14ac:dyDescent="0.2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4:32" ht="12.75" customHeight="1" x14ac:dyDescent="0.2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4:32" ht="12.75" customHeight="1" x14ac:dyDescent="0.2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4:32" ht="12.75" customHeight="1" x14ac:dyDescent="0.2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4:32" ht="12.75" customHeight="1" x14ac:dyDescent="0.2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4:32" ht="12.75" customHeight="1" x14ac:dyDescent="0.2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4:32" ht="12.75" customHeight="1" x14ac:dyDescent="0.2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4:32" ht="12.75" customHeight="1" x14ac:dyDescent="0.2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4:32" ht="12.75" customHeight="1" x14ac:dyDescent="0.2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4:32" ht="12.75" customHeight="1" x14ac:dyDescent="0.2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4:32" ht="12.75" customHeight="1" x14ac:dyDescent="0.2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4:32" ht="12.75" customHeight="1" x14ac:dyDescent="0.2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4:32" ht="12.75" customHeight="1" x14ac:dyDescent="0.2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4:32" ht="12.75" customHeight="1" x14ac:dyDescent="0.2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4:32" ht="12.75" customHeight="1" x14ac:dyDescent="0.2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4:32" ht="12.75" customHeight="1" x14ac:dyDescent="0.2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4:32" ht="12.75" customHeight="1" x14ac:dyDescent="0.2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4:32" ht="12.75" customHeight="1" x14ac:dyDescent="0.2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4:32" ht="12.75" customHeight="1" x14ac:dyDescent="0.2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4:32" ht="12.75" customHeight="1" x14ac:dyDescent="0.2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4:32" ht="12.75" customHeight="1" x14ac:dyDescent="0.2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4:32" ht="12.75" customHeight="1" x14ac:dyDescent="0.2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4:32" ht="12.75" customHeight="1" x14ac:dyDescent="0.2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4:32" ht="12.75" customHeight="1" x14ac:dyDescent="0.2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4:32" ht="12.75" customHeight="1" x14ac:dyDescent="0.2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4:32" ht="12.75" customHeight="1" x14ac:dyDescent="0.2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4:32" ht="12.75" customHeight="1" x14ac:dyDescent="0.2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4:32" ht="12.75" customHeight="1" x14ac:dyDescent="0.2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4:32" ht="12.75" customHeight="1" x14ac:dyDescent="0.2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4:32" ht="12.75" customHeight="1" x14ac:dyDescent="0.2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4:32" ht="12.75" customHeight="1" x14ac:dyDescent="0.2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4:32" ht="12.75" customHeight="1" x14ac:dyDescent="0.2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4:32" ht="12.75" customHeight="1" x14ac:dyDescent="0.2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4:32" ht="12.75" customHeight="1" x14ac:dyDescent="0.2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4:32" ht="12.75" customHeight="1" x14ac:dyDescent="0.2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4:32" ht="12.75" customHeight="1" x14ac:dyDescent="0.2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4:32" ht="12.75" customHeight="1" x14ac:dyDescent="0.2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4:32" ht="12.75" customHeight="1" x14ac:dyDescent="0.2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4:32" ht="12.75" customHeight="1" x14ac:dyDescent="0.2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4:32" ht="12.75" customHeight="1" x14ac:dyDescent="0.2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4:32" ht="12.75" customHeight="1" x14ac:dyDescent="0.2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4:32" ht="12.75" customHeight="1" x14ac:dyDescent="0.2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4:32" ht="12.75" customHeight="1" x14ac:dyDescent="0.2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4:32" ht="12.75" customHeight="1" x14ac:dyDescent="0.2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4:32" ht="12.75" customHeight="1" x14ac:dyDescent="0.2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4:32" ht="12.75" customHeight="1" x14ac:dyDescent="0.2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4:32" ht="12.75" customHeight="1" x14ac:dyDescent="0.2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4:32" ht="12.75" customHeight="1" x14ac:dyDescent="0.2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4:32" ht="12.75" customHeight="1" x14ac:dyDescent="0.2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4:32" ht="12.75" customHeight="1" x14ac:dyDescent="0.2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4:32" ht="12.75" customHeight="1" x14ac:dyDescent="0.2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4:32" ht="12.75" customHeight="1" x14ac:dyDescent="0.2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4:32" ht="12.75" customHeight="1" x14ac:dyDescent="0.2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4:32" ht="12.75" customHeight="1" x14ac:dyDescent="0.2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4:32" ht="12.75" customHeight="1" x14ac:dyDescent="0.2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4:32" ht="12.75" customHeight="1" x14ac:dyDescent="0.2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4:32" ht="12.75" customHeight="1" x14ac:dyDescent="0.2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4:32" ht="12.75" customHeight="1" x14ac:dyDescent="0.2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4:32" ht="12.75" customHeight="1" x14ac:dyDescent="0.2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4:32" ht="12.75" customHeight="1" x14ac:dyDescent="0.2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4:32" ht="12.75" customHeight="1" x14ac:dyDescent="0.2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4:32" ht="12.75" customHeight="1" x14ac:dyDescent="0.2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4:32" ht="12.75" customHeight="1" x14ac:dyDescent="0.2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4:32" ht="12.75" customHeight="1" x14ac:dyDescent="0.2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4:32" ht="12.75" customHeight="1" x14ac:dyDescent="0.2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4:32" ht="12.75" customHeight="1" x14ac:dyDescent="0.2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4:32" ht="12.75" customHeight="1" x14ac:dyDescent="0.2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4:32" ht="12.75" customHeight="1" x14ac:dyDescent="0.2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4:32" ht="12.75" customHeight="1" x14ac:dyDescent="0.2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4:32" ht="12.75" customHeight="1" x14ac:dyDescent="0.2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4:32" ht="12.75" customHeight="1" x14ac:dyDescent="0.2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4:32" ht="12.75" customHeight="1" x14ac:dyDescent="0.2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4:32" ht="12.75" customHeight="1" x14ac:dyDescent="0.2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4:32" ht="12.75" customHeight="1" x14ac:dyDescent="0.2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4:32" ht="12.75" customHeight="1" x14ac:dyDescent="0.2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4:32" ht="12.75" customHeight="1" x14ac:dyDescent="0.2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4:32" ht="12.75" customHeight="1" x14ac:dyDescent="0.2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4:32" ht="12.75" customHeight="1" x14ac:dyDescent="0.2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4:32" ht="12.75" customHeight="1" x14ac:dyDescent="0.2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4:32" ht="12.75" customHeight="1" x14ac:dyDescent="0.2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4:32" ht="12.75" customHeight="1" x14ac:dyDescent="0.2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4:32" ht="12.75" customHeight="1" x14ac:dyDescent="0.2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4:32" ht="12.75" customHeight="1" x14ac:dyDescent="0.2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4:32" ht="12.75" customHeight="1" x14ac:dyDescent="0.2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4:32" ht="12.75" customHeight="1" x14ac:dyDescent="0.2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4:32" ht="12.75" customHeight="1" x14ac:dyDescent="0.2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4:32" ht="12.75" customHeight="1" x14ac:dyDescent="0.2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4:32" ht="12.75" customHeight="1" x14ac:dyDescent="0.2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4:32" ht="12.75" customHeight="1" x14ac:dyDescent="0.2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4:32" ht="12.75" customHeight="1" x14ac:dyDescent="0.2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4:32" ht="12.75" customHeight="1" x14ac:dyDescent="0.2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4:32" ht="12.75" customHeight="1" x14ac:dyDescent="0.2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4:32" ht="12.75" customHeight="1" x14ac:dyDescent="0.2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4:32" ht="12.75" customHeight="1" x14ac:dyDescent="0.2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4:32" ht="12.75" customHeight="1" x14ac:dyDescent="0.2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4:32" ht="12.75" customHeight="1" x14ac:dyDescent="0.2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4:32" ht="12.75" customHeight="1" x14ac:dyDescent="0.2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4:32" ht="12.75" customHeight="1" x14ac:dyDescent="0.2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4:32" ht="12.75" customHeight="1" x14ac:dyDescent="0.2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4:32" ht="12.75" customHeight="1" x14ac:dyDescent="0.2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4:32" ht="12.75" customHeight="1" x14ac:dyDescent="0.2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4:32" ht="12.75" customHeight="1" x14ac:dyDescent="0.2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4:32" ht="12.75" customHeight="1" x14ac:dyDescent="0.2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4:32" ht="12.75" customHeight="1" x14ac:dyDescent="0.2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4:32" ht="12.75" customHeight="1" x14ac:dyDescent="0.2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4:32" ht="12.75" customHeight="1" x14ac:dyDescent="0.2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4:32" ht="12.75" customHeight="1" x14ac:dyDescent="0.2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4:32" ht="12.75" customHeight="1" x14ac:dyDescent="0.2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4:32" ht="12.75" customHeight="1" x14ac:dyDescent="0.2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4:32" ht="12.75" customHeight="1" x14ac:dyDescent="0.2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4:32" ht="12.75" customHeight="1" x14ac:dyDescent="0.2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4:32" ht="12.75" customHeight="1" x14ac:dyDescent="0.2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4:32" ht="12.75" customHeight="1" x14ac:dyDescent="0.2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4:32" ht="12.75" customHeight="1" x14ac:dyDescent="0.2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4:32" ht="12.75" customHeight="1" x14ac:dyDescent="0.2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4:32" ht="12.75" customHeight="1" x14ac:dyDescent="0.2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4:32" ht="12.75" customHeight="1" x14ac:dyDescent="0.2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4:32" ht="12.75" customHeight="1" x14ac:dyDescent="0.2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4:32" ht="12.75" customHeight="1" x14ac:dyDescent="0.2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4:32" ht="12.75" customHeight="1" x14ac:dyDescent="0.2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4:32" ht="12.75" customHeight="1" x14ac:dyDescent="0.2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4:32" ht="12.75" customHeight="1" x14ac:dyDescent="0.2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4:32" ht="12.75" customHeight="1" x14ac:dyDescent="0.2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4:32" ht="12.75" customHeight="1" x14ac:dyDescent="0.2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4:32" ht="12.75" customHeight="1" x14ac:dyDescent="0.2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4:32" ht="12.75" customHeight="1" x14ac:dyDescent="0.2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4:32" ht="12.75" customHeight="1" x14ac:dyDescent="0.2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4:32" ht="12.75" customHeight="1" x14ac:dyDescent="0.2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4:32" ht="12.75" customHeight="1" x14ac:dyDescent="0.2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4:32" ht="12.75" customHeight="1" x14ac:dyDescent="0.2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4:32" ht="12.75" customHeight="1" x14ac:dyDescent="0.2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4:32" ht="12.75" customHeight="1" x14ac:dyDescent="0.2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4:32" ht="12.75" customHeight="1" x14ac:dyDescent="0.2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4:32" ht="12.75" customHeight="1" x14ac:dyDescent="0.2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4:32" ht="12.75" customHeight="1" x14ac:dyDescent="0.2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4:32" ht="12.75" customHeight="1" x14ac:dyDescent="0.2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4:32" ht="12.75" customHeight="1" x14ac:dyDescent="0.2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4:32" ht="12.75" customHeight="1" x14ac:dyDescent="0.2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4:32" ht="12.75" customHeight="1" x14ac:dyDescent="0.2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4:32" ht="12.75" customHeight="1" x14ac:dyDescent="0.2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4:32" ht="12.75" customHeight="1" x14ac:dyDescent="0.2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4:32" ht="12.75" customHeight="1" x14ac:dyDescent="0.2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4:32" ht="12.75" customHeight="1" x14ac:dyDescent="0.2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4:32" ht="12.75" customHeight="1" x14ac:dyDescent="0.2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4:32" ht="12.75" customHeight="1" x14ac:dyDescent="0.2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4:32" ht="12.75" customHeight="1" x14ac:dyDescent="0.2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4:32" ht="12.75" customHeight="1" x14ac:dyDescent="0.2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4:32" ht="12.75" customHeight="1" x14ac:dyDescent="0.2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4:32" ht="12.75" customHeight="1" x14ac:dyDescent="0.2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4:32" ht="12.75" customHeight="1" x14ac:dyDescent="0.2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4:32" ht="12.75" customHeight="1" x14ac:dyDescent="0.2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4:32" ht="12.75" customHeight="1" x14ac:dyDescent="0.2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4:32" ht="12.75" customHeight="1" x14ac:dyDescent="0.2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4:32" ht="12.75" customHeight="1" x14ac:dyDescent="0.2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4:32" ht="12.75" customHeight="1" x14ac:dyDescent="0.2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4:32" ht="12.75" customHeight="1" x14ac:dyDescent="0.2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4:32" ht="12.75" customHeight="1" x14ac:dyDescent="0.2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4:32" ht="12.75" customHeight="1" x14ac:dyDescent="0.2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4:32" ht="12.75" customHeight="1" x14ac:dyDescent="0.2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4:32" ht="12.75" customHeight="1" x14ac:dyDescent="0.2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4:32" ht="12.75" customHeight="1" x14ac:dyDescent="0.2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4:32" ht="12.75" customHeight="1" x14ac:dyDescent="0.2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4:32" ht="12.75" customHeight="1" x14ac:dyDescent="0.2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4:32" ht="12.75" customHeight="1" x14ac:dyDescent="0.2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4:32" ht="12.75" customHeight="1" x14ac:dyDescent="0.2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4:32" ht="12.75" customHeight="1" x14ac:dyDescent="0.2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4:32" ht="12.75" customHeight="1" x14ac:dyDescent="0.2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4:32" ht="12.75" customHeight="1" x14ac:dyDescent="0.2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4:32" ht="12.75" customHeight="1" x14ac:dyDescent="0.2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4:32" ht="12.75" customHeight="1" x14ac:dyDescent="0.2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4:32" ht="12.75" customHeight="1" x14ac:dyDescent="0.2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4:32" ht="12.75" customHeight="1" x14ac:dyDescent="0.2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4:32" ht="12.75" customHeight="1" x14ac:dyDescent="0.2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4:32" ht="12.75" customHeight="1" x14ac:dyDescent="0.2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4:32" ht="12.75" customHeight="1" x14ac:dyDescent="0.2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4:32" ht="12.75" customHeight="1" x14ac:dyDescent="0.2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4:32" ht="12.75" customHeight="1" x14ac:dyDescent="0.2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4:32" ht="12.75" customHeight="1" x14ac:dyDescent="0.2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4:32" ht="12.75" customHeight="1" x14ac:dyDescent="0.2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4:32" ht="12.75" customHeight="1" x14ac:dyDescent="0.2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4:32" ht="12.75" customHeight="1" x14ac:dyDescent="0.2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4:32" ht="12.75" customHeight="1" x14ac:dyDescent="0.2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4:32" ht="12.75" customHeight="1" x14ac:dyDescent="0.2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4:32" ht="12.75" customHeight="1" x14ac:dyDescent="0.2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4:32" ht="12.75" customHeight="1" x14ac:dyDescent="0.2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4:32" ht="12.75" customHeight="1" x14ac:dyDescent="0.2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4:32" ht="12.75" customHeight="1" x14ac:dyDescent="0.2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4:32" ht="12.75" customHeight="1" x14ac:dyDescent="0.2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4:32" ht="12.75" customHeight="1" x14ac:dyDescent="0.2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4:32" ht="12.75" customHeight="1" x14ac:dyDescent="0.2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4:32" ht="12.75" customHeight="1" x14ac:dyDescent="0.2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4:32" ht="12.75" customHeight="1" x14ac:dyDescent="0.2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4:32" ht="12.75" customHeight="1" x14ac:dyDescent="0.2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4:32" ht="12.75" customHeight="1" x14ac:dyDescent="0.2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4:32" ht="12.75" customHeight="1" x14ac:dyDescent="0.2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4:32" ht="12.75" customHeight="1" x14ac:dyDescent="0.2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4:32" ht="12.75" customHeight="1" x14ac:dyDescent="0.2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4:32" ht="12.75" customHeight="1" x14ac:dyDescent="0.2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4:32" ht="12.75" customHeight="1" x14ac:dyDescent="0.2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4:32" ht="12.75" customHeight="1" x14ac:dyDescent="0.2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4:32" ht="12.75" customHeight="1" x14ac:dyDescent="0.2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4:32" ht="12.75" customHeight="1" x14ac:dyDescent="0.2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4:32" ht="12.75" customHeight="1" x14ac:dyDescent="0.2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4:32" ht="12.75" customHeight="1" x14ac:dyDescent="0.2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4:32" ht="12.75" customHeight="1" x14ac:dyDescent="0.2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4:32" ht="12.75" customHeight="1" x14ac:dyDescent="0.2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4:32" ht="12.75" customHeight="1" x14ac:dyDescent="0.2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4:32" ht="12.75" customHeight="1" x14ac:dyDescent="0.2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4:32" ht="12.75" customHeight="1" x14ac:dyDescent="0.2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4:32" ht="12.75" customHeight="1" x14ac:dyDescent="0.2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4:32" ht="12.75" customHeight="1" x14ac:dyDescent="0.2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4:32" ht="12.75" customHeight="1" x14ac:dyDescent="0.2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4:32" ht="12.75" customHeight="1" x14ac:dyDescent="0.2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4:32" ht="12.75" customHeight="1" x14ac:dyDescent="0.2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4:32" ht="12.75" customHeight="1" x14ac:dyDescent="0.2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4:32" ht="12.75" customHeight="1" x14ac:dyDescent="0.2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4:32" ht="12.75" customHeight="1" x14ac:dyDescent="0.2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4:32" ht="12.75" customHeight="1" x14ac:dyDescent="0.2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4:32" ht="12.75" customHeight="1" x14ac:dyDescent="0.2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4:32" ht="12.75" customHeight="1" x14ac:dyDescent="0.2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4:32" ht="12.75" customHeight="1" x14ac:dyDescent="0.2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4:32" ht="12.75" customHeight="1" x14ac:dyDescent="0.2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4:32" ht="12.75" customHeight="1" x14ac:dyDescent="0.2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4:32" ht="12.75" customHeight="1" x14ac:dyDescent="0.2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4:32" ht="12.75" customHeight="1" x14ac:dyDescent="0.2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4:32" ht="12.75" customHeight="1" x14ac:dyDescent="0.2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4:32" ht="12.75" customHeight="1" x14ac:dyDescent="0.2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4:32" ht="12.75" customHeight="1" x14ac:dyDescent="0.2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4:32" ht="12.75" customHeight="1" x14ac:dyDescent="0.2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4:32" ht="12.75" customHeight="1" x14ac:dyDescent="0.2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4:32" ht="12.75" customHeight="1" x14ac:dyDescent="0.2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4:32" ht="12.75" customHeight="1" x14ac:dyDescent="0.2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4:32" ht="12.75" customHeight="1" x14ac:dyDescent="0.2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4:32" ht="12.75" customHeight="1" x14ac:dyDescent="0.2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4:32" ht="12.75" customHeight="1" x14ac:dyDescent="0.2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4:32" ht="12.75" customHeight="1" x14ac:dyDescent="0.2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4:32" ht="12.75" customHeight="1" x14ac:dyDescent="0.2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4:32" ht="12.75" customHeight="1" x14ac:dyDescent="0.2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4:32" ht="12.75" customHeight="1" x14ac:dyDescent="0.2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4:32" ht="12.75" customHeight="1" x14ac:dyDescent="0.2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4:32" ht="12.75" customHeight="1" x14ac:dyDescent="0.2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4:32" ht="12.75" customHeight="1" x14ac:dyDescent="0.2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4:32" ht="12.75" customHeight="1" x14ac:dyDescent="0.2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4:32" ht="12.75" customHeight="1" x14ac:dyDescent="0.2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4:32" ht="12.75" customHeight="1" x14ac:dyDescent="0.2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4:32" ht="12.75" customHeight="1" x14ac:dyDescent="0.2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4:32" ht="12.75" customHeight="1" x14ac:dyDescent="0.2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4:32" ht="12.75" customHeight="1" x14ac:dyDescent="0.2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4:32" ht="12.75" customHeight="1" x14ac:dyDescent="0.2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4:32" ht="12.75" customHeight="1" x14ac:dyDescent="0.2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4:32" ht="12.75" customHeight="1" x14ac:dyDescent="0.2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4:32" ht="12.75" customHeight="1" x14ac:dyDescent="0.2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4:32" ht="12.75" customHeight="1" x14ac:dyDescent="0.2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4:32" ht="12.75" customHeight="1" x14ac:dyDescent="0.2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4:32" ht="12.75" customHeight="1" x14ac:dyDescent="0.2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4:32" ht="12.75" customHeight="1" x14ac:dyDescent="0.2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4:32" ht="12.75" customHeight="1" x14ac:dyDescent="0.2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4:32" ht="12.75" customHeight="1" x14ac:dyDescent="0.2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4:32" ht="12.75" customHeight="1" x14ac:dyDescent="0.2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4:32" ht="12.75" customHeight="1" x14ac:dyDescent="0.2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4:32" ht="12.75" customHeight="1" x14ac:dyDescent="0.2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4:32" ht="12.75" customHeight="1" x14ac:dyDescent="0.2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4:32" ht="12.75" customHeight="1" x14ac:dyDescent="0.2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4:32" ht="12.75" customHeight="1" x14ac:dyDescent="0.2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4:32" ht="12.75" customHeight="1" x14ac:dyDescent="0.2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4:32" ht="12.75" customHeight="1" x14ac:dyDescent="0.2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4:32" ht="12.75" customHeight="1" x14ac:dyDescent="0.2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4:32" ht="12.75" customHeight="1" x14ac:dyDescent="0.2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4:32" ht="12.75" customHeight="1" x14ac:dyDescent="0.2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4:32" ht="12.75" customHeight="1" x14ac:dyDescent="0.2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4:32" ht="12.75" customHeight="1" x14ac:dyDescent="0.2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4:32" ht="12.75" customHeight="1" x14ac:dyDescent="0.2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4:32" ht="12.75" customHeight="1" x14ac:dyDescent="0.2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4:32" ht="12.75" customHeight="1" x14ac:dyDescent="0.2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4:32" ht="12.75" customHeight="1" x14ac:dyDescent="0.2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4:32" ht="12.75" customHeight="1" x14ac:dyDescent="0.2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4:32" ht="12.75" customHeight="1" x14ac:dyDescent="0.2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4:32" ht="12.75" customHeight="1" x14ac:dyDescent="0.2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4:32" ht="12.75" customHeight="1" x14ac:dyDescent="0.2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4:32" ht="12.75" customHeight="1" x14ac:dyDescent="0.2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4:32" ht="12.75" customHeight="1" x14ac:dyDescent="0.2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4:32" ht="12.75" customHeight="1" x14ac:dyDescent="0.2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4:32" ht="12.75" customHeight="1" x14ac:dyDescent="0.2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4:32" ht="12.75" customHeight="1" x14ac:dyDescent="0.2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4:32" ht="12.75" customHeight="1" x14ac:dyDescent="0.2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4:32" ht="12.75" customHeight="1" x14ac:dyDescent="0.2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4:32" ht="12.75" customHeight="1" x14ac:dyDescent="0.2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4:32" ht="12.75" customHeight="1" x14ac:dyDescent="0.2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4:32" ht="12.75" customHeight="1" x14ac:dyDescent="0.2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4:32" ht="12.75" customHeight="1" x14ac:dyDescent="0.2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4:32" ht="12.75" customHeight="1" x14ac:dyDescent="0.2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4:32" ht="12.75" customHeight="1" x14ac:dyDescent="0.2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4:32" ht="12.75" customHeight="1" x14ac:dyDescent="0.2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4:32" ht="12.75" customHeight="1" x14ac:dyDescent="0.2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4:32" ht="12.75" customHeight="1" x14ac:dyDescent="0.2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4:32" ht="12.75" customHeight="1" x14ac:dyDescent="0.2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4:32" ht="12.75" customHeight="1" x14ac:dyDescent="0.2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4:32" ht="12.75" customHeight="1" x14ac:dyDescent="0.2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4:32" ht="12.75" customHeight="1" x14ac:dyDescent="0.2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4:32" ht="12.75" customHeight="1" x14ac:dyDescent="0.2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4:32" ht="12.75" customHeight="1" x14ac:dyDescent="0.2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4:32" ht="12.75" customHeight="1" x14ac:dyDescent="0.2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4:32" ht="12.75" customHeight="1" x14ac:dyDescent="0.2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4:32" ht="12.75" customHeight="1" x14ac:dyDescent="0.2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4:32" ht="12.75" customHeight="1" x14ac:dyDescent="0.2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4:32" ht="12.75" customHeight="1" x14ac:dyDescent="0.2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4:32" ht="12.75" customHeight="1" x14ac:dyDescent="0.2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4:32" ht="12.75" customHeight="1" x14ac:dyDescent="0.2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4:32" ht="12.75" customHeight="1" x14ac:dyDescent="0.2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4:32" ht="12.75" customHeight="1" x14ac:dyDescent="0.2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4:32" ht="12.75" customHeight="1" x14ac:dyDescent="0.2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4:32" ht="12.75" customHeight="1" x14ac:dyDescent="0.2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4:32" ht="12.75" customHeight="1" x14ac:dyDescent="0.2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4:32" ht="12.75" customHeight="1" x14ac:dyDescent="0.2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4:32" ht="12.75" customHeight="1" x14ac:dyDescent="0.2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4:32" ht="12.75" customHeight="1" x14ac:dyDescent="0.2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4:32" ht="12.75" customHeight="1" x14ac:dyDescent="0.2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4:32" ht="12.75" customHeight="1" x14ac:dyDescent="0.2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4:32" ht="12.75" customHeight="1" x14ac:dyDescent="0.2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4:32" ht="12.75" customHeight="1" x14ac:dyDescent="0.2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4:32" ht="12.75" customHeight="1" x14ac:dyDescent="0.2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4:32" ht="12.75" customHeight="1" x14ac:dyDescent="0.2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4:32" ht="12.75" customHeight="1" x14ac:dyDescent="0.2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4:32" ht="12.75" customHeight="1" x14ac:dyDescent="0.2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4:32" ht="12.75" customHeight="1" x14ac:dyDescent="0.2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4:32" ht="12.75" customHeight="1" x14ac:dyDescent="0.2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4:32" ht="12.75" customHeight="1" x14ac:dyDescent="0.2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4:32" ht="12.75" customHeight="1" x14ac:dyDescent="0.2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4:32" ht="12.75" customHeight="1" x14ac:dyDescent="0.2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4:32" ht="12.75" customHeight="1" x14ac:dyDescent="0.2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4:32" ht="12.75" customHeight="1" x14ac:dyDescent="0.2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4:32" ht="12.75" customHeight="1" x14ac:dyDescent="0.2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4:32" ht="12.75" customHeight="1" x14ac:dyDescent="0.2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4:32" ht="12.75" customHeight="1" x14ac:dyDescent="0.2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4:32" ht="12.75" customHeight="1" x14ac:dyDescent="0.2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4:32" ht="12.75" customHeight="1" x14ac:dyDescent="0.2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4:32" ht="12.75" customHeight="1" x14ac:dyDescent="0.2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4:32" ht="12.75" customHeight="1" x14ac:dyDescent="0.2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4:32" ht="12.75" customHeight="1" x14ac:dyDescent="0.2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4:32" ht="12.75" customHeight="1" x14ac:dyDescent="0.2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4:32" ht="12.75" customHeight="1" x14ac:dyDescent="0.2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4:32" ht="12.75" customHeight="1" x14ac:dyDescent="0.2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4:32" ht="12.75" customHeight="1" x14ac:dyDescent="0.2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4:32" ht="12.75" customHeight="1" x14ac:dyDescent="0.2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4:32" ht="12.75" customHeight="1" x14ac:dyDescent="0.2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4:32" ht="12.75" customHeight="1" x14ac:dyDescent="0.2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4:32" ht="12.75" customHeight="1" x14ac:dyDescent="0.2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4:32" ht="12.75" customHeight="1" x14ac:dyDescent="0.2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4:32" ht="12.75" customHeight="1" x14ac:dyDescent="0.2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4:32" ht="12.75" customHeight="1" x14ac:dyDescent="0.2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4:32" ht="12.75" customHeight="1" x14ac:dyDescent="0.2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4:32" ht="12.75" customHeight="1" x14ac:dyDescent="0.2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4:32" ht="12.75" customHeight="1" x14ac:dyDescent="0.2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4:32" ht="12.75" customHeight="1" x14ac:dyDescent="0.2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4:32" ht="12.75" customHeight="1" x14ac:dyDescent="0.2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4:32" ht="12.75" customHeight="1" x14ac:dyDescent="0.2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4:32" ht="12.75" customHeight="1" x14ac:dyDescent="0.2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4:32" ht="12.75" customHeight="1" x14ac:dyDescent="0.2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4:32" ht="12.75" customHeight="1" x14ac:dyDescent="0.2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4:32" ht="12.75" customHeight="1" x14ac:dyDescent="0.2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4:32" ht="12.75" customHeight="1" x14ac:dyDescent="0.2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4:32" ht="12.75" customHeight="1" x14ac:dyDescent="0.2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4:32" ht="12.75" customHeight="1" x14ac:dyDescent="0.2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4:32" ht="12.75" customHeight="1" x14ac:dyDescent="0.2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4:32" ht="12.75" customHeight="1" x14ac:dyDescent="0.2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4:32" ht="12.75" customHeight="1" x14ac:dyDescent="0.2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4:32" ht="12.75" customHeight="1" x14ac:dyDescent="0.2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4:32" ht="12.75" customHeight="1" x14ac:dyDescent="0.2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4:32" ht="12.75" customHeight="1" x14ac:dyDescent="0.2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4:32" ht="12.75" customHeight="1" x14ac:dyDescent="0.2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4:32" ht="12.75" customHeight="1" x14ac:dyDescent="0.2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4:32" ht="12.75" customHeight="1" x14ac:dyDescent="0.2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4:32" ht="12.75" customHeight="1" x14ac:dyDescent="0.2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4:32" ht="12.75" customHeight="1" x14ac:dyDescent="0.2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4:32" ht="12.75" customHeight="1" x14ac:dyDescent="0.2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4:32" ht="12.75" customHeight="1" x14ac:dyDescent="0.2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4:32" ht="12.75" customHeight="1" x14ac:dyDescent="0.2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4:32" ht="12.75" customHeight="1" x14ac:dyDescent="0.2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4:32" ht="12.75" customHeight="1" x14ac:dyDescent="0.2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4:32" ht="12.75" customHeight="1" x14ac:dyDescent="0.2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4:32" ht="12.75" customHeight="1" x14ac:dyDescent="0.2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4:32" ht="12.75" customHeight="1" x14ac:dyDescent="0.2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4:32" ht="12.75" customHeight="1" x14ac:dyDescent="0.2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4:32" ht="12.75" customHeight="1" x14ac:dyDescent="0.2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4:32" ht="12.75" customHeight="1" x14ac:dyDescent="0.2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4:32" ht="12.75" customHeight="1" x14ac:dyDescent="0.2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4:32" ht="12.75" customHeight="1" x14ac:dyDescent="0.2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4:32" ht="12.75" customHeight="1" x14ac:dyDescent="0.2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4:32" ht="12.75" customHeight="1" x14ac:dyDescent="0.2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4:32" ht="12.75" customHeight="1" x14ac:dyDescent="0.2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4:32" ht="12.75" customHeight="1" x14ac:dyDescent="0.2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4:32" ht="12.75" customHeight="1" x14ac:dyDescent="0.2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4:32" ht="12.75" customHeight="1" x14ac:dyDescent="0.2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4:32" ht="12.75" customHeight="1" x14ac:dyDescent="0.2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4:32" ht="12.75" customHeight="1" x14ac:dyDescent="0.2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4:32" ht="12.75" customHeight="1" x14ac:dyDescent="0.2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4:32" ht="12.75" customHeight="1" x14ac:dyDescent="0.2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4:32" ht="12.75" customHeight="1" x14ac:dyDescent="0.2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4:32" ht="12.75" customHeight="1" x14ac:dyDescent="0.2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4:32" ht="12.75" customHeight="1" x14ac:dyDescent="0.2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4:32" ht="12.75" customHeight="1" x14ac:dyDescent="0.2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4:32" ht="12.75" customHeight="1" x14ac:dyDescent="0.2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4:32" ht="12.75" customHeight="1" x14ac:dyDescent="0.2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4:32" ht="12.75" customHeight="1" x14ac:dyDescent="0.2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4:32" ht="12.75" customHeight="1" x14ac:dyDescent="0.2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4:32" ht="12.75" customHeight="1" x14ac:dyDescent="0.2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4:32" ht="12.75" customHeight="1" x14ac:dyDescent="0.2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4:32" ht="12.75" customHeight="1" x14ac:dyDescent="0.2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4:32" ht="12.75" customHeight="1" x14ac:dyDescent="0.2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4:32" ht="12.75" customHeight="1" x14ac:dyDescent="0.2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4:32" ht="12.75" customHeight="1" x14ac:dyDescent="0.2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4:32" ht="12.75" customHeight="1" x14ac:dyDescent="0.2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4:32" ht="12.75" customHeight="1" x14ac:dyDescent="0.2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4:32" ht="12.75" customHeight="1" x14ac:dyDescent="0.2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4:32" ht="12.75" customHeight="1" x14ac:dyDescent="0.2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4:32" ht="12.75" customHeight="1" x14ac:dyDescent="0.2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4:32" ht="12.75" customHeight="1" x14ac:dyDescent="0.2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4:32" ht="12.75" customHeight="1" x14ac:dyDescent="0.2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4:32" ht="12.75" customHeight="1" x14ac:dyDescent="0.2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4:32" ht="12.75" customHeight="1" x14ac:dyDescent="0.2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4:32" ht="12.75" customHeight="1" x14ac:dyDescent="0.2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4:32" ht="12.75" customHeight="1" x14ac:dyDescent="0.2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4:32" ht="12.75" customHeight="1" x14ac:dyDescent="0.2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4:32" ht="12.75" customHeight="1" x14ac:dyDescent="0.2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4:32" ht="12.75" customHeight="1" x14ac:dyDescent="0.2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4:32" ht="12.75" customHeight="1" x14ac:dyDescent="0.2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4:32" ht="12.75" customHeight="1" x14ac:dyDescent="0.2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4:32" ht="12.75" customHeight="1" x14ac:dyDescent="0.2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4:32" ht="12.75" customHeight="1" x14ac:dyDescent="0.2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4:32" ht="12.75" customHeight="1" x14ac:dyDescent="0.2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4:32" ht="12.75" customHeight="1" x14ac:dyDescent="0.2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4:32" ht="12.75" customHeight="1" x14ac:dyDescent="0.2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4:32" ht="12.75" customHeight="1" x14ac:dyDescent="0.2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4:32" ht="12.75" customHeight="1" x14ac:dyDescent="0.2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4:32" ht="12.75" customHeight="1" x14ac:dyDescent="0.2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4:32" ht="12.75" customHeight="1" x14ac:dyDescent="0.2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4:32" ht="12.75" customHeight="1" x14ac:dyDescent="0.2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4:32" ht="12.75" customHeight="1" x14ac:dyDescent="0.2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4:32" ht="12.75" customHeight="1" x14ac:dyDescent="0.2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4:32" ht="12.75" customHeight="1" x14ac:dyDescent="0.2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4:32" ht="12.75" customHeight="1" x14ac:dyDescent="0.2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4:32" ht="12.75" customHeight="1" x14ac:dyDescent="0.2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4:32" ht="12.75" customHeight="1" x14ac:dyDescent="0.2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4:32" ht="12.75" customHeight="1" x14ac:dyDescent="0.2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4:32" ht="12.75" customHeight="1" x14ac:dyDescent="0.2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4:32" ht="12.75" customHeight="1" x14ac:dyDescent="0.2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4:32" ht="12.75" customHeight="1" x14ac:dyDescent="0.2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4:32" ht="12.75" customHeight="1" x14ac:dyDescent="0.2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4:32" ht="12.75" customHeight="1" x14ac:dyDescent="0.2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4:32" ht="12.75" customHeight="1" x14ac:dyDescent="0.2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4:32" ht="12.75" customHeight="1" x14ac:dyDescent="0.2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4:32" ht="12.75" customHeight="1" x14ac:dyDescent="0.2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4:32" ht="12.75" customHeight="1" x14ac:dyDescent="0.2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4:32" ht="12.75" customHeight="1" x14ac:dyDescent="0.2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4:32" ht="12.75" customHeight="1" x14ac:dyDescent="0.2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4:32" ht="12.75" customHeight="1" x14ac:dyDescent="0.2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4:32" ht="12.75" customHeight="1" x14ac:dyDescent="0.2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4:32" ht="12.75" customHeight="1" x14ac:dyDescent="0.2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4:32" ht="12.75" customHeight="1" x14ac:dyDescent="0.2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4:32" ht="12.75" customHeight="1" x14ac:dyDescent="0.2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4:32" ht="12.75" customHeight="1" x14ac:dyDescent="0.2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4:32" ht="12.75" customHeight="1" x14ac:dyDescent="0.2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4:32" ht="12.75" customHeight="1" x14ac:dyDescent="0.2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4:32" ht="12.75" customHeight="1" x14ac:dyDescent="0.2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4:32" ht="12.75" customHeight="1" x14ac:dyDescent="0.2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4:32" ht="12.75" customHeight="1" x14ac:dyDescent="0.2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4:32" ht="12.75" customHeight="1" x14ac:dyDescent="0.2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4:32" ht="12.75" customHeight="1" x14ac:dyDescent="0.2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4:32" ht="12.75" customHeight="1" x14ac:dyDescent="0.2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4:32" ht="12.75" customHeight="1" x14ac:dyDescent="0.2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4:32" ht="12.75" customHeight="1" x14ac:dyDescent="0.2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4:32" ht="12.75" customHeight="1" x14ac:dyDescent="0.2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4:32" ht="12.75" customHeight="1" x14ac:dyDescent="0.2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4:32" ht="12.75" customHeight="1" x14ac:dyDescent="0.2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4:32" ht="12.75" customHeight="1" x14ac:dyDescent="0.2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4:32" ht="12.75" customHeight="1" x14ac:dyDescent="0.2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4:32" ht="12.75" customHeight="1" x14ac:dyDescent="0.2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4:32" ht="12.75" customHeight="1" x14ac:dyDescent="0.2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4:32" ht="12.75" customHeight="1" x14ac:dyDescent="0.2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4:32" ht="12.75" customHeight="1" x14ac:dyDescent="0.2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4:32" ht="12.75" customHeight="1" x14ac:dyDescent="0.2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4:32" ht="12.75" customHeight="1" x14ac:dyDescent="0.2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4:32" ht="12.75" customHeight="1" x14ac:dyDescent="0.2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4:32" ht="12.75" customHeight="1" x14ac:dyDescent="0.2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4:32" ht="12.75" customHeight="1" x14ac:dyDescent="0.2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4:32" ht="12.75" customHeight="1" x14ac:dyDescent="0.2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4:32" ht="12.75" customHeight="1" x14ac:dyDescent="0.2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4:32" ht="12.75" customHeight="1" x14ac:dyDescent="0.2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4:32" ht="12.75" customHeight="1" x14ac:dyDescent="0.2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4:32" ht="12.75" customHeight="1" x14ac:dyDescent="0.2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4:32" ht="12.75" customHeight="1" x14ac:dyDescent="0.2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4:32" ht="12.75" customHeight="1" x14ac:dyDescent="0.2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4:32" ht="12.75" customHeight="1" x14ac:dyDescent="0.2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4:32" ht="12.75" customHeight="1" x14ac:dyDescent="0.2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4:32" ht="12.75" customHeight="1" x14ac:dyDescent="0.2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4:32" ht="12.75" customHeight="1" x14ac:dyDescent="0.2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4:32" ht="12.75" customHeight="1" x14ac:dyDescent="0.2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4:32" ht="12.75" customHeight="1" x14ac:dyDescent="0.2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4:32" ht="12.75" customHeight="1" x14ac:dyDescent="0.2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4:32" ht="12.75" customHeight="1" x14ac:dyDescent="0.2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4:32" ht="12.75" customHeight="1" x14ac:dyDescent="0.2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4:32" ht="12.75" customHeight="1" x14ac:dyDescent="0.2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4:32" ht="12.75" customHeight="1" x14ac:dyDescent="0.2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4:32" ht="12.75" customHeight="1" x14ac:dyDescent="0.2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4:32" ht="12.75" customHeight="1" x14ac:dyDescent="0.2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4:32" ht="12.75" customHeight="1" x14ac:dyDescent="0.2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4:32" ht="12.75" customHeight="1" x14ac:dyDescent="0.2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4:32" ht="12.75" customHeight="1" x14ac:dyDescent="0.2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4:32" ht="12.75" customHeight="1" x14ac:dyDescent="0.2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4:32" ht="12.75" customHeight="1" x14ac:dyDescent="0.2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4:32" ht="12.75" customHeight="1" x14ac:dyDescent="0.2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4:32" ht="12.75" customHeight="1" x14ac:dyDescent="0.2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4:32" ht="12.75" customHeight="1" x14ac:dyDescent="0.2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4:32" ht="12.75" customHeight="1" x14ac:dyDescent="0.2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4:32" ht="12.75" customHeight="1" x14ac:dyDescent="0.2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4:32" ht="12.75" customHeight="1" x14ac:dyDescent="0.2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4:32" ht="12.75" customHeight="1" x14ac:dyDescent="0.2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4:32" ht="12.75" customHeight="1" x14ac:dyDescent="0.2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4:32" ht="12.75" customHeight="1" x14ac:dyDescent="0.2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4:32" ht="12.75" customHeight="1" x14ac:dyDescent="0.2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4:32" ht="12.75" customHeight="1" x14ac:dyDescent="0.2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4:32" ht="12.75" customHeight="1" x14ac:dyDescent="0.2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4:32" ht="12.75" customHeight="1" x14ac:dyDescent="0.2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4:32" ht="12.75" customHeight="1" x14ac:dyDescent="0.2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4:32" ht="12.75" customHeight="1" x14ac:dyDescent="0.2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4:32" ht="12.75" customHeight="1" x14ac:dyDescent="0.2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4:32" ht="12.75" customHeight="1" x14ac:dyDescent="0.2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4:32" ht="12.75" customHeight="1" x14ac:dyDescent="0.2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4:32" ht="12.75" customHeight="1" x14ac:dyDescent="0.2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4:32" ht="12.75" customHeight="1" x14ac:dyDescent="0.2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4:32" ht="12.75" customHeight="1" x14ac:dyDescent="0.2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4:32" ht="12.75" customHeight="1" x14ac:dyDescent="0.2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4:32" ht="12.75" customHeight="1" x14ac:dyDescent="0.2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4:32" ht="12.75" customHeight="1" x14ac:dyDescent="0.2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4:32" ht="12.75" customHeight="1" x14ac:dyDescent="0.2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4:32" ht="12.75" customHeight="1" x14ac:dyDescent="0.2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4:32" ht="12.75" customHeight="1" x14ac:dyDescent="0.2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4:32" ht="12.75" customHeight="1" x14ac:dyDescent="0.2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4:32" ht="12.75" customHeight="1" x14ac:dyDescent="0.2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4:32" ht="12.75" customHeight="1" x14ac:dyDescent="0.2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4:32" ht="12.75" customHeight="1" x14ac:dyDescent="0.2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4:32" ht="12.75" customHeight="1" x14ac:dyDescent="0.2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4:32" ht="12.75" customHeight="1" x14ac:dyDescent="0.2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4:32" ht="12.75" customHeight="1" x14ac:dyDescent="0.2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4:32" ht="12.75" customHeight="1" x14ac:dyDescent="0.2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4:32" ht="12.75" customHeight="1" x14ac:dyDescent="0.2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4:32" ht="12.75" customHeight="1" x14ac:dyDescent="0.2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4:32" ht="12.75" customHeight="1" x14ac:dyDescent="0.2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4:32" ht="12.75" customHeight="1" x14ac:dyDescent="0.2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4:32" ht="12.75" customHeight="1" x14ac:dyDescent="0.2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4:32" ht="12.75" customHeight="1" x14ac:dyDescent="0.2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4:32" ht="12.75" customHeight="1" x14ac:dyDescent="0.2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4:32" ht="12.75" customHeight="1" x14ac:dyDescent="0.2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4:32" ht="12.75" customHeight="1" x14ac:dyDescent="0.2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4:32" ht="12.75" customHeight="1" x14ac:dyDescent="0.2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4:32" ht="12.75" customHeight="1" x14ac:dyDescent="0.2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4:32" ht="12.75" customHeight="1" x14ac:dyDescent="0.2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4:32" ht="12.75" customHeight="1" x14ac:dyDescent="0.2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4:32" ht="12.75" customHeight="1" x14ac:dyDescent="0.2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4:32" ht="12.75" customHeight="1" x14ac:dyDescent="0.2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4:32" ht="12.75" customHeight="1" x14ac:dyDescent="0.2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4:32" ht="12.75" customHeight="1" x14ac:dyDescent="0.2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4:32" ht="12.75" customHeight="1" x14ac:dyDescent="0.2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4:32" ht="12.75" customHeight="1" x14ac:dyDescent="0.2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4:32" ht="12.75" customHeight="1" x14ac:dyDescent="0.2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4:32" ht="12.75" customHeight="1" x14ac:dyDescent="0.2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4:32" ht="12.75" customHeight="1" x14ac:dyDescent="0.2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4:32" ht="12.75" customHeight="1" x14ac:dyDescent="0.2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4:32" ht="12.75" customHeight="1" x14ac:dyDescent="0.2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4:32" ht="12.75" customHeight="1" x14ac:dyDescent="0.2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4:32" ht="12.75" customHeight="1" x14ac:dyDescent="0.2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4:32" ht="12.75" customHeight="1" x14ac:dyDescent="0.2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4:32" ht="12.75" customHeight="1" x14ac:dyDescent="0.2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4:32" ht="12.75" customHeight="1" x14ac:dyDescent="0.2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4:32" ht="12.75" customHeight="1" x14ac:dyDescent="0.2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4:32" ht="12.75" customHeight="1" x14ac:dyDescent="0.2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4:32" ht="12.75" customHeight="1" x14ac:dyDescent="0.2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4:32" ht="12.75" customHeight="1" x14ac:dyDescent="0.2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4:32" ht="12.75" customHeight="1" x14ac:dyDescent="0.2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4:32" ht="12.75" customHeight="1" x14ac:dyDescent="0.2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4:32" ht="12.75" customHeight="1" x14ac:dyDescent="0.2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4:32" ht="12.75" customHeight="1" x14ac:dyDescent="0.2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4:32" ht="12.75" customHeight="1" x14ac:dyDescent="0.2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4:32" ht="12.75" customHeight="1" x14ac:dyDescent="0.2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4:32" ht="12.75" customHeight="1" x14ac:dyDescent="0.2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4:32" ht="12.75" customHeight="1" x14ac:dyDescent="0.2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4:32" ht="12.75" customHeight="1" x14ac:dyDescent="0.2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4:32" ht="12.75" customHeight="1" x14ac:dyDescent="0.2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4:32" ht="12.75" customHeight="1" x14ac:dyDescent="0.2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4:32" ht="12.75" customHeight="1" x14ac:dyDescent="0.2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4:32" ht="12.75" customHeight="1" x14ac:dyDescent="0.2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4:32" ht="12.75" customHeight="1" x14ac:dyDescent="0.2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4:32" ht="12.75" customHeight="1" x14ac:dyDescent="0.2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4:32" ht="12.75" customHeight="1" x14ac:dyDescent="0.2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4:32" ht="12.75" customHeight="1" x14ac:dyDescent="0.2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4:32" ht="12.75" customHeight="1" x14ac:dyDescent="0.2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4:32" ht="12.75" customHeight="1" x14ac:dyDescent="0.2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4:32" ht="12.75" customHeight="1" x14ac:dyDescent="0.2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4:32" ht="12.75" customHeight="1" x14ac:dyDescent="0.2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4:32" ht="12.75" customHeight="1" x14ac:dyDescent="0.2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4:32" ht="12.75" customHeight="1" x14ac:dyDescent="0.2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4:32" ht="12.75" customHeight="1" x14ac:dyDescent="0.2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4:32" ht="12.75" customHeight="1" x14ac:dyDescent="0.2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4:32" ht="12.75" customHeight="1" x14ac:dyDescent="0.2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4:32" ht="12.75" customHeight="1" x14ac:dyDescent="0.2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4:32" ht="12.75" customHeight="1" x14ac:dyDescent="0.2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4:32" ht="12.75" customHeight="1" x14ac:dyDescent="0.2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4:32" ht="12.75" customHeight="1" x14ac:dyDescent="0.2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4:32" ht="12.75" customHeight="1" x14ac:dyDescent="0.2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4:32" ht="12.75" customHeight="1" x14ac:dyDescent="0.2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4:32" ht="12.75" customHeight="1" x14ac:dyDescent="0.2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4:32" ht="12.75" customHeight="1" x14ac:dyDescent="0.2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4:32" ht="12.75" customHeight="1" x14ac:dyDescent="0.2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4:32" ht="12.75" customHeight="1" x14ac:dyDescent="0.2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4:32" ht="12.75" customHeight="1" x14ac:dyDescent="0.2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4:32" ht="12.75" customHeight="1" x14ac:dyDescent="0.2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4:32" ht="12.75" customHeight="1" x14ac:dyDescent="0.2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4:32" ht="12.75" customHeight="1" x14ac:dyDescent="0.2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4:32" ht="12.75" customHeight="1" x14ac:dyDescent="0.2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4:32" ht="12.75" customHeight="1" x14ac:dyDescent="0.2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4:32" ht="12.75" customHeight="1" x14ac:dyDescent="0.2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4:32" ht="12.75" customHeight="1" x14ac:dyDescent="0.2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4:32" ht="12.75" customHeight="1" x14ac:dyDescent="0.2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4:32" ht="12.75" customHeight="1" x14ac:dyDescent="0.2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4:32" ht="12.75" customHeight="1" x14ac:dyDescent="0.2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4:32" ht="12.75" customHeight="1" x14ac:dyDescent="0.2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4:32" ht="12.75" customHeight="1" x14ac:dyDescent="0.2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4:32" ht="12.75" customHeight="1" x14ac:dyDescent="0.2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4:32" ht="12.75" customHeight="1" x14ac:dyDescent="0.2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4:32" ht="12.75" customHeight="1" x14ac:dyDescent="0.2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4:32" ht="12.75" customHeight="1" x14ac:dyDescent="0.2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4:32" ht="12.75" customHeight="1" x14ac:dyDescent="0.2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4:32" ht="12.75" customHeight="1" x14ac:dyDescent="0.2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4:32" ht="12.75" customHeight="1" x14ac:dyDescent="0.2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4:32" ht="12.75" customHeight="1" x14ac:dyDescent="0.2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4:32" ht="12.75" customHeight="1" x14ac:dyDescent="0.2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4:32" ht="12.75" customHeight="1" x14ac:dyDescent="0.2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4:32" ht="12.75" customHeight="1" x14ac:dyDescent="0.2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4:32" ht="12.75" customHeight="1" x14ac:dyDescent="0.2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4:32" ht="12.75" customHeight="1" x14ac:dyDescent="0.2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4:32" ht="12.75" customHeight="1" x14ac:dyDescent="0.2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4:32" ht="12.75" customHeight="1" x14ac:dyDescent="0.2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4:32" ht="12.75" customHeight="1" x14ac:dyDescent="0.2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4:32" ht="12.75" customHeight="1" x14ac:dyDescent="0.2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4:32" ht="12.75" customHeight="1" x14ac:dyDescent="0.2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4:32" ht="12.75" customHeight="1" x14ac:dyDescent="0.2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4:32" ht="12.75" customHeight="1" x14ac:dyDescent="0.2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4:32" ht="12.75" customHeight="1" x14ac:dyDescent="0.2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4:32" ht="12.75" customHeight="1" x14ac:dyDescent="0.2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4:32" ht="12.75" customHeight="1" x14ac:dyDescent="0.2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4:32" ht="12.75" customHeight="1" x14ac:dyDescent="0.2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4:32" ht="12.75" customHeight="1" x14ac:dyDescent="0.2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4:32" ht="12.75" customHeight="1" x14ac:dyDescent="0.2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4:32" ht="12.75" customHeight="1" x14ac:dyDescent="0.2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4:32" ht="12.75" customHeight="1" x14ac:dyDescent="0.2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4:32" ht="12.75" customHeight="1" x14ac:dyDescent="0.2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4:32" ht="12.75" customHeight="1" x14ac:dyDescent="0.2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4:32" ht="12.75" customHeight="1" x14ac:dyDescent="0.2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4:32" ht="12.75" customHeight="1" x14ac:dyDescent="0.2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4:32" ht="12.75" customHeight="1" x14ac:dyDescent="0.2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4:32" ht="12.75" customHeight="1" x14ac:dyDescent="0.2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4:32" ht="12.75" customHeight="1" x14ac:dyDescent="0.2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4:32" ht="12.75" customHeight="1" x14ac:dyDescent="0.2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4:32" ht="12.75" customHeight="1" x14ac:dyDescent="0.2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4:32" ht="12.75" customHeight="1" x14ac:dyDescent="0.2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4:32" ht="12.75" customHeight="1" x14ac:dyDescent="0.2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4:32" ht="12.75" customHeight="1" x14ac:dyDescent="0.2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4:32" ht="12.75" customHeight="1" x14ac:dyDescent="0.2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4:32" ht="12.75" customHeight="1" x14ac:dyDescent="0.2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4:32" ht="12.75" customHeight="1" x14ac:dyDescent="0.2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4:32" ht="12.75" customHeight="1" x14ac:dyDescent="0.2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4:32" ht="12.75" customHeight="1" x14ac:dyDescent="0.2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4:32" ht="12.75" customHeight="1" x14ac:dyDescent="0.2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4:32" ht="12.75" customHeight="1" x14ac:dyDescent="0.2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4:32" ht="12.75" customHeight="1" x14ac:dyDescent="0.2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4:32" ht="12.75" customHeight="1" x14ac:dyDescent="0.2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4:32" ht="12.75" customHeight="1" x14ac:dyDescent="0.2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4:32" ht="12.75" customHeight="1" x14ac:dyDescent="0.2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4:32" ht="12.75" customHeight="1" x14ac:dyDescent="0.2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4:32" ht="12.75" customHeight="1" x14ac:dyDescent="0.2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4:32" ht="12.75" customHeight="1" x14ac:dyDescent="0.2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4:32" ht="12.75" customHeight="1" x14ac:dyDescent="0.2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4:32" ht="12.75" customHeight="1" x14ac:dyDescent="0.2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4:32" ht="12.75" customHeight="1" x14ac:dyDescent="0.2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4:32" ht="12.75" customHeight="1" x14ac:dyDescent="0.2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4:32" ht="12.75" customHeight="1" x14ac:dyDescent="0.2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4:32" ht="12.75" customHeight="1" x14ac:dyDescent="0.2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4:32" ht="12.75" customHeight="1" x14ac:dyDescent="0.2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4:32" ht="12.75" customHeight="1" x14ac:dyDescent="0.2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4:32" ht="12.75" customHeight="1" x14ac:dyDescent="0.2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4:32" ht="12.75" customHeight="1" x14ac:dyDescent="0.2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4:32" ht="12.75" customHeight="1" x14ac:dyDescent="0.2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4:32" ht="12.75" customHeight="1" x14ac:dyDescent="0.2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4:32" ht="12.75" customHeight="1" x14ac:dyDescent="0.2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4:32" ht="12.75" customHeight="1" x14ac:dyDescent="0.2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4:32" ht="12.75" customHeight="1" x14ac:dyDescent="0.2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4:32" ht="12.75" customHeight="1" x14ac:dyDescent="0.2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4:32" ht="12.75" customHeight="1" x14ac:dyDescent="0.2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4:32" ht="12.75" customHeight="1" x14ac:dyDescent="0.2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4:32" ht="12.75" customHeight="1" x14ac:dyDescent="0.2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4:32" ht="12.75" customHeight="1" x14ac:dyDescent="0.2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4:32" ht="12.75" customHeight="1" x14ac:dyDescent="0.2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4:32" ht="12.75" customHeight="1" x14ac:dyDescent="0.2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4:32" ht="12.75" customHeight="1" x14ac:dyDescent="0.2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4:32" ht="12.75" customHeight="1" x14ac:dyDescent="0.2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4:32" ht="12.75" customHeight="1" x14ac:dyDescent="0.2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4:32" ht="12.75" customHeight="1" x14ac:dyDescent="0.2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4:32" ht="12.75" customHeight="1" x14ac:dyDescent="0.2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4:32" ht="12.75" customHeight="1" x14ac:dyDescent="0.2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4:32" ht="12.75" customHeight="1" x14ac:dyDescent="0.2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4:32" ht="12.75" customHeight="1" x14ac:dyDescent="0.2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4:32" ht="12.75" customHeight="1" x14ac:dyDescent="0.2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4:32" ht="12.75" customHeight="1" x14ac:dyDescent="0.2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4:32" ht="12.75" customHeight="1" x14ac:dyDescent="0.2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4:32" ht="12.75" customHeight="1" x14ac:dyDescent="0.2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4:32" ht="12.75" customHeight="1" x14ac:dyDescent="0.2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4:32" ht="12.75" customHeight="1" x14ac:dyDescent="0.2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4:32" ht="12.75" customHeight="1" x14ac:dyDescent="0.2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4:32" ht="12.75" customHeight="1" x14ac:dyDescent="0.2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4:32" ht="12.75" customHeight="1" x14ac:dyDescent="0.2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4:32" ht="12.75" customHeight="1" x14ac:dyDescent="0.2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4:32" ht="12.75" customHeight="1" x14ac:dyDescent="0.2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4:32" ht="12.75" customHeight="1" x14ac:dyDescent="0.2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4:32" ht="12.75" customHeight="1" x14ac:dyDescent="0.2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4:32" ht="12.75" customHeight="1" x14ac:dyDescent="0.2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4:32" ht="12.75" customHeight="1" x14ac:dyDescent="0.2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4:32" ht="12.75" customHeight="1" x14ac:dyDescent="0.2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4:32" ht="12.75" customHeight="1" x14ac:dyDescent="0.2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4:32" ht="12.75" customHeight="1" x14ac:dyDescent="0.2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4:32" ht="12.75" customHeight="1" x14ac:dyDescent="0.2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4:32" ht="12.75" customHeight="1" x14ac:dyDescent="0.2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4:32" ht="12.75" customHeight="1" x14ac:dyDescent="0.2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4:32" ht="12.75" customHeight="1" x14ac:dyDescent="0.2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4:32" ht="12.75" customHeight="1" x14ac:dyDescent="0.2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4:32" ht="12.75" customHeight="1" x14ac:dyDescent="0.2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4:32" ht="12.75" customHeight="1" x14ac:dyDescent="0.2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4:32" ht="12.75" customHeight="1" x14ac:dyDescent="0.2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4:32" ht="12.75" customHeight="1" x14ac:dyDescent="0.2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4:32" ht="12.75" customHeight="1" x14ac:dyDescent="0.2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4:32" ht="12.75" customHeight="1" x14ac:dyDescent="0.2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4:32" ht="12.75" customHeight="1" x14ac:dyDescent="0.2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4:32" ht="12.75" customHeight="1" x14ac:dyDescent="0.2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4:32" ht="12.75" customHeight="1" x14ac:dyDescent="0.2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4:32" ht="12.75" customHeight="1" x14ac:dyDescent="0.2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4:32" ht="12.75" customHeight="1" x14ac:dyDescent="0.2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4:32" ht="12.75" customHeight="1" x14ac:dyDescent="0.2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4:32" ht="12.75" customHeight="1" x14ac:dyDescent="0.2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4:32" ht="12.75" customHeight="1" x14ac:dyDescent="0.2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4:32" ht="12.75" customHeight="1" x14ac:dyDescent="0.2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4:32" ht="12.75" customHeight="1" x14ac:dyDescent="0.2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4:32" ht="12.75" customHeight="1" x14ac:dyDescent="0.2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4:32" ht="12.75" customHeight="1" x14ac:dyDescent="0.2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4:32" ht="12.75" customHeight="1" x14ac:dyDescent="0.2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4:32" ht="12.75" customHeight="1" x14ac:dyDescent="0.2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4:32" ht="12.75" customHeight="1" x14ac:dyDescent="0.2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4:32" ht="12.75" customHeight="1" x14ac:dyDescent="0.2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4:32" ht="12.75" customHeight="1" x14ac:dyDescent="0.2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4:32" ht="12.75" customHeight="1" x14ac:dyDescent="0.2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4:32" ht="12.75" customHeight="1" x14ac:dyDescent="0.2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4:32" ht="12.75" customHeight="1" x14ac:dyDescent="0.2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4:32" ht="12.75" customHeight="1" x14ac:dyDescent="0.2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4:32" ht="12.75" customHeight="1" x14ac:dyDescent="0.2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4:32" ht="12.75" customHeight="1" x14ac:dyDescent="0.2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4:32" ht="12.75" customHeight="1" x14ac:dyDescent="0.2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4:32" ht="12.75" customHeight="1" x14ac:dyDescent="0.2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4:32" ht="12.75" customHeight="1" x14ac:dyDescent="0.2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4:32" ht="12.75" customHeight="1" x14ac:dyDescent="0.2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4:32" ht="12.75" customHeight="1" x14ac:dyDescent="0.2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4:32" ht="12.75" customHeight="1" x14ac:dyDescent="0.2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4:32" ht="12.75" customHeight="1" x14ac:dyDescent="0.2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4:32" ht="12.75" customHeight="1" x14ac:dyDescent="0.2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4:32" ht="12.75" customHeight="1" x14ac:dyDescent="0.2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4:32" ht="12.75" customHeight="1" x14ac:dyDescent="0.2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4:32" ht="12.75" customHeight="1" x14ac:dyDescent="0.2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4:32" ht="12.75" customHeight="1" x14ac:dyDescent="0.2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4:32" ht="12.75" customHeight="1" x14ac:dyDescent="0.2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4:32" ht="12.75" customHeight="1" x14ac:dyDescent="0.2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4:32" ht="12.75" customHeight="1" x14ac:dyDescent="0.2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4:32" ht="12.75" customHeight="1" x14ac:dyDescent="0.2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4:32" ht="12.75" customHeight="1" x14ac:dyDescent="0.2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4:32" ht="12.75" customHeight="1" x14ac:dyDescent="0.2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4:32" ht="12.75" customHeight="1" x14ac:dyDescent="0.2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4:32" ht="12.75" customHeight="1" x14ac:dyDescent="0.2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4:32" ht="12.75" customHeight="1" x14ac:dyDescent="0.2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4:32" ht="12.75" customHeight="1" x14ac:dyDescent="0.2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4:32" ht="12.75" customHeight="1" x14ac:dyDescent="0.2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4:32" ht="12.75" customHeight="1" x14ac:dyDescent="0.2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4:32" ht="12.75" customHeight="1" x14ac:dyDescent="0.2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4:32" ht="12.75" customHeight="1" x14ac:dyDescent="0.2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4:32" ht="12.75" customHeight="1" x14ac:dyDescent="0.2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4:32" ht="12.75" customHeight="1" x14ac:dyDescent="0.2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4:32" ht="12.75" customHeight="1" x14ac:dyDescent="0.2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4:32" ht="12.75" customHeight="1" x14ac:dyDescent="0.2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4:32" ht="12.75" customHeight="1" x14ac:dyDescent="0.2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4:32" ht="12.75" customHeight="1" x14ac:dyDescent="0.2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4:32" ht="12.75" customHeight="1" x14ac:dyDescent="0.2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4:32" ht="12.75" customHeight="1" x14ac:dyDescent="0.2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4:32" ht="12.75" customHeight="1" x14ac:dyDescent="0.2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4:32" ht="12.75" customHeight="1" x14ac:dyDescent="0.2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4:32" ht="12.75" customHeight="1" x14ac:dyDescent="0.2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4:32" ht="12.75" customHeight="1" x14ac:dyDescent="0.2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4:32" ht="12.75" customHeight="1" x14ac:dyDescent="0.2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4:32" ht="12.75" customHeight="1" x14ac:dyDescent="0.2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4:32" ht="12.75" customHeight="1" x14ac:dyDescent="0.2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4:32" ht="12.75" customHeight="1" x14ac:dyDescent="0.2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4:32" ht="12.75" customHeight="1" x14ac:dyDescent="0.2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4:32" ht="12.75" customHeight="1" x14ac:dyDescent="0.2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4:32" ht="12.75" customHeight="1" x14ac:dyDescent="0.2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4:32" ht="12.75" customHeight="1" x14ac:dyDescent="0.2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4:32" ht="12.75" customHeight="1" x14ac:dyDescent="0.2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4:32" ht="12.75" customHeight="1" x14ac:dyDescent="0.2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4:32" ht="12.75" customHeight="1" x14ac:dyDescent="0.2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4:32" ht="12.75" customHeight="1" x14ac:dyDescent="0.2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4:32" ht="12.75" customHeight="1" x14ac:dyDescent="0.2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4:32" ht="12.75" customHeight="1" x14ac:dyDescent="0.2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4:32" ht="12.75" customHeight="1" x14ac:dyDescent="0.2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4:32" ht="12.75" customHeight="1" x14ac:dyDescent="0.2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4:32" ht="12.75" customHeight="1" x14ac:dyDescent="0.2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4:32" ht="12.75" customHeight="1" x14ac:dyDescent="0.2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4:32" ht="12.75" customHeight="1" x14ac:dyDescent="0.2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4:32" ht="12.75" customHeight="1" x14ac:dyDescent="0.2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4:32" ht="12.75" customHeight="1" x14ac:dyDescent="0.2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4:32" ht="12.75" customHeight="1" x14ac:dyDescent="0.2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4:32" ht="12.75" customHeight="1" x14ac:dyDescent="0.2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4:32" ht="12.75" customHeight="1" x14ac:dyDescent="0.2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4:32" ht="12.75" customHeight="1" x14ac:dyDescent="0.2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4:32" ht="12.75" customHeight="1" x14ac:dyDescent="0.2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4:32" ht="12.75" customHeight="1" x14ac:dyDescent="0.2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4:32" ht="12.75" customHeight="1" x14ac:dyDescent="0.2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4:32" ht="12.75" customHeight="1" x14ac:dyDescent="0.2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4:32" ht="12.75" customHeight="1" x14ac:dyDescent="0.2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4:32" ht="12.75" customHeight="1" x14ac:dyDescent="0.2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4:32" ht="12.75" customHeight="1" x14ac:dyDescent="0.2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4:32" ht="12.75" customHeight="1" x14ac:dyDescent="0.2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4:32" ht="12.75" customHeight="1" x14ac:dyDescent="0.2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4:32" ht="12.75" customHeight="1" x14ac:dyDescent="0.2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4:32" ht="12.75" customHeight="1" x14ac:dyDescent="0.2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4:32" ht="12.75" customHeight="1" x14ac:dyDescent="0.2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4:32" ht="12.75" customHeight="1" x14ac:dyDescent="0.2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4:32" ht="12.75" customHeight="1" x14ac:dyDescent="0.2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4:32" ht="12.75" customHeight="1" x14ac:dyDescent="0.2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4:32" ht="12.75" customHeight="1" x14ac:dyDescent="0.2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4:32" ht="12.75" customHeight="1" x14ac:dyDescent="0.2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4:32" ht="12.75" customHeight="1" x14ac:dyDescent="0.2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4:32" ht="12.75" customHeight="1" x14ac:dyDescent="0.2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4:32" ht="12.75" customHeight="1" x14ac:dyDescent="0.2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4:32" ht="12.75" customHeight="1" x14ac:dyDescent="0.2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4:32" ht="12.75" customHeight="1" x14ac:dyDescent="0.2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4:32" ht="12.75" customHeight="1" x14ac:dyDescent="0.2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4:32" ht="12.75" customHeight="1" x14ac:dyDescent="0.2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4:32" ht="12.75" customHeight="1" x14ac:dyDescent="0.2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4:32" ht="12.75" customHeight="1" x14ac:dyDescent="0.2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4:32" ht="12.75" customHeight="1" x14ac:dyDescent="0.2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4:32" ht="12.75" customHeight="1" x14ac:dyDescent="0.2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4:32" ht="12.75" customHeight="1" x14ac:dyDescent="0.2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4:32" ht="12.75" customHeight="1" x14ac:dyDescent="0.2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4:32" ht="12.75" customHeight="1" x14ac:dyDescent="0.2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4:32" ht="12.75" customHeight="1" x14ac:dyDescent="0.2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4:32" ht="12.75" customHeight="1" x14ac:dyDescent="0.2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4:32" ht="12.75" customHeight="1" x14ac:dyDescent="0.2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4:32" ht="12.75" customHeight="1" x14ac:dyDescent="0.2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4:32" ht="12.75" customHeight="1" x14ac:dyDescent="0.2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4:32" ht="12.75" customHeight="1" x14ac:dyDescent="0.2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4:32" ht="12.75" customHeight="1" x14ac:dyDescent="0.2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4:32" ht="12.75" customHeight="1" x14ac:dyDescent="0.2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4:32" ht="12.75" customHeight="1" x14ac:dyDescent="0.2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4:32" ht="12.75" customHeight="1" x14ac:dyDescent="0.2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4:32" ht="12.75" customHeight="1" x14ac:dyDescent="0.2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4:32" ht="12.75" customHeight="1" x14ac:dyDescent="0.2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4:32" ht="12.75" customHeight="1" x14ac:dyDescent="0.2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4:32" ht="12.75" customHeight="1" x14ac:dyDescent="0.2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4:32" ht="12.75" customHeight="1" x14ac:dyDescent="0.2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4:32" ht="12.75" customHeight="1" x14ac:dyDescent="0.2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4:32" ht="12.75" customHeight="1" x14ac:dyDescent="0.2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4:32" ht="12.75" customHeight="1" x14ac:dyDescent="0.2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4:32" ht="12.75" customHeight="1" x14ac:dyDescent="0.2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4:32" ht="12.75" customHeight="1" x14ac:dyDescent="0.2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4:32" ht="12.75" customHeight="1" x14ac:dyDescent="0.2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4:32" ht="12.75" customHeight="1" x14ac:dyDescent="0.2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4:32" ht="12.75" customHeight="1" x14ac:dyDescent="0.2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4:32" ht="12.75" customHeight="1" x14ac:dyDescent="0.2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4:32" ht="12.75" customHeight="1" x14ac:dyDescent="0.2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4:32" ht="12.75" customHeight="1" x14ac:dyDescent="0.2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4:32" ht="12.75" customHeight="1" x14ac:dyDescent="0.2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4:32" ht="12.75" customHeight="1" x14ac:dyDescent="0.2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4:32" ht="12.75" customHeight="1" x14ac:dyDescent="0.2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4:32" ht="12.75" customHeight="1" x14ac:dyDescent="0.2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4:32" ht="12.75" customHeight="1" x14ac:dyDescent="0.2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4:32" ht="12.75" customHeight="1" x14ac:dyDescent="0.2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4:32" ht="12.75" customHeight="1" x14ac:dyDescent="0.2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4:32" ht="12.75" customHeight="1" x14ac:dyDescent="0.2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4:32" ht="12.75" customHeight="1" x14ac:dyDescent="0.2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4:32" ht="12.75" customHeight="1" x14ac:dyDescent="0.2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4:32" ht="12.75" customHeight="1" x14ac:dyDescent="0.2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4:32" ht="12.75" customHeight="1" x14ac:dyDescent="0.2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4:32" ht="12.75" customHeight="1" x14ac:dyDescent="0.2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4:32" ht="12.75" customHeight="1" x14ac:dyDescent="0.2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4:32" ht="12.75" customHeight="1" x14ac:dyDescent="0.2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4:32" ht="12.75" customHeight="1" x14ac:dyDescent="0.2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4:32" ht="12.75" customHeight="1" x14ac:dyDescent="0.2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4:32" ht="12.75" customHeight="1" x14ac:dyDescent="0.2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4:32" ht="12.75" customHeight="1" x14ac:dyDescent="0.2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4:32" ht="12.75" customHeight="1" x14ac:dyDescent="0.2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4:32" ht="12.75" customHeight="1" x14ac:dyDescent="0.2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4:32" ht="12.75" customHeight="1" x14ac:dyDescent="0.2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4:32" ht="12.75" customHeight="1" x14ac:dyDescent="0.2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4:32" ht="12.75" customHeight="1" x14ac:dyDescent="0.2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4:32" ht="12.75" customHeight="1" x14ac:dyDescent="0.2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4:32" ht="12.75" customHeight="1" x14ac:dyDescent="0.2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4:32" ht="12.75" customHeight="1" x14ac:dyDescent="0.2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4:32" ht="12.75" customHeight="1" x14ac:dyDescent="0.2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4:32" ht="12.75" customHeight="1" x14ac:dyDescent="0.2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4:32" ht="12.75" customHeight="1" x14ac:dyDescent="0.2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4:32" ht="12.75" customHeight="1" x14ac:dyDescent="0.2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4:32" ht="12.75" customHeight="1" x14ac:dyDescent="0.2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4:32" ht="12.75" customHeight="1" x14ac:dyDescent="0.2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B22:AF65">
    <cfRule type="expression" dxfId="7" priority="3" stopIfTrue="1">
      <formula>$F22="Terminado"</formula>
    </cfRule>
    <cfRule type="expression" dxfId="6" priority="4" stopIfTrue="1">
      <formula>$F22="En Progreso"</formula>
    </cfRule>
  </conditionalFormatting>
  <conditionalFormatting sqref="L22:AF25 C26:AF65">
    <cfRule type="expression" dxfId="5" priority="1" stopIfTrue="1">
      <formula>$F22="Done"</formula>
    </cfRule>
    <cfRule type="expression" dxfId="4" priority="2" stopIfTrue="1">
      <formula>$F22="Ongoing"</formula>
    </cfRule>
  </conditionalFormatting>
  <dataValidations count="1">
    <dataValidation type="list" allowBlank="1" sqref="F10:F15 F22:F71" xr:uid="{00000000-0002-0000-0100-000000000000}">
      <formula1>"Por Hacer,En Progreso,Terminado"</formula1>
    </dataValidation>
  </dataValidations>
  <pageMargins left="0.75" right="0.75" top="1" bottom="1" header="0" footer="0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/>
  </sheetViews>
  <sheetFormatPr baseColWidth="10" defaultColWidth="12.7109375" defaultRowHeight="15" customHeight="1" x14ac:dyDescent="0.2"/>
  <cols>
    <col min="1" max="1" width="3.28515625" customWidth="1"/>
    <col min="2" max="2" width="9.140625" customWidth="1"/>
    <col min="3" max="3" width="38.28515625" customWidth="1"/>
    <col min="4" max="4" width="10.7109375" customWidth="1"/>
    <col min="5" max="5" width="13.7109375" customWidth="1"/>
    <col min="6" max="6" width="10.85546875" customWidth="1"/>
    <col min="7" max="7" width="9.7109375" customWidth="1"/>
    <col min="8" max="32" width="4.28515625" customWidth="1"/>
    <col min="33" max="33" width="9.140625" customWidth="1"/>
  </cols>
  <sheetData>
    <row r="1" spans="1:33" ht="12.75" customHeight="1" x14ac:dyDescent="0.2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0.5" customHeight="1" x14ac:dyDescent="0.2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spans="1:33" ht="15" customHeight="1" x14ac:dyDescent="0.2">
      <c r="B3" s="7"/>
      <c r="C3" s="8" t="s">
        <v>0</v>
      </c>
      <c r="D3" s="36"/>
      <c r="E3" s="34"/>
      <c r="F3" s="34"/>
      <c r="G3" s="34"/>
      <c r="H3" s="35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9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1:33" ht="15" customHeight="1" x14ac:dyDescent="0.2">
      <c r="B4" s="7"/>
      <c r="C4" s="8" t="s">
        <v>2</v>
      </c>
      <c r="D4" s="36"/>
      <c r="E4" s="34"/>
      <c r="F4" s="34"/>
      <c r="G4" s="34"/>
      <c r="H4" s="35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9"/>
      <c r="W4" s="10"/>
      <c r="X4" s="10"/>
      <c r="Y4" s="10"/>
      <c r="Z4" s="10"/>
      <c r="AA4" s="10"/>
      <c r="AB4" s="10"/>
      <c r="AC4" s="10"/>
      <c r="AD4" s="10"/>
      <c r="AE4" s="10"/>
      <c r="AF4" s="11"/>
    </row>
    <row r="5" spans="1:33" ht="15" customHeight="1" x14ac:dyDescent="0.2">
      <c r="B5" s="7"/>
      <c r="C5" s="8" t="s">
        <v>4</v>
      </c>
      <c r="D5" s="36"/>
      <c r="E5" s="34"/>
      <c r="F5" s="34"/>
      <c r="G5" s="34"/>
      <c r="H5" s="35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1:33" ht="15" customHeight="1" x14ac:dyDescent="0.2">
      <c r="B6" s="12"/>
      <c r="C6" s="13"/>
      <c r="D6" s="14"/>
      <c r="E6" s="14"/>
      <c r="F6" s="14"/>
      <c r="G6" s="14"/>
      <c r="H6" s="14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5"/>
      <c r="W6" s="16"/>
      <c r="X6" s="16"/>
      <c r="Y6" s="16"/>
      <c r="Z6" s="16"/>
      <c r="AA6" s="16"/>
      <c r="AB6" s="16"/>
      <c r="AC6" s="16"/>
      <c r="AD6" s="16"/>
      <c r="AE6" s="16"/>
      <c r="AF6" s="17"/>
    </row>
    <row r="7" spans="1:33" ht="10.5" customHeight="1" x14ac:dyDescent="0.2">
      <c r="A7" s="20"/>
      <c r="B7" s="30"/>
      <c r="C7" s="20"/>
      <c r="D7" s="31"/>
      <c r="E7" s="31"/>
      <c r="F7" s="31"/>
      <c r="G7" s="31"/>
      <c r="H7" s="31"/>
      <c r="I7" s="30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0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20"/>
    </row>
    <row r="8" spans="1:33" ht="12.75" customHeight="1" x14ac:dyDescent="0.25">
      <c r="A8" s="20"/>
      <c r="B8" s="20"/>
      <c r="C8" s="18">
        <v>1</v>
      </c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2.75" customHeight="1" x14ac:dyDescent="0.2">
      <c r="D9" s="1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1:33" ht="12.75" customHeight="1" x14ac:dyDescent="0.2">
      <c r="D10" s="1"/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3" ht="12.75" customHeight="1" x14ac:dyDescent="0.2">
      <c r="D11" s="1"/>
      <c r="F11" s="2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3" ht="12.75" customHeight="1" x14ac:dyDescent="0.2">
      <c r="D12" s="1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3" ht="12.75" customHeight="1" x14ac:dyDescent="0.2">
      <c r="D13" s="1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3" ht="12.75" customHeight="1" x14ac:dyDescent="0.2">
      <c r="D14" s="1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3" ht="12.75" customHeight="1" x14ac:dyDescent="0.2">
      <c r="D15" s="1"/>
      <c r="F15" s="2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3" ht="12.75" customHeight="1" x14ac:dyDescent="0.2">
      <c r="B16" s="22"/>
      <c r="C16" s="22" t="s">
        <v>6</v>
      </c>
      <c r="D16" s="1"/>
      <c r="E16" s="22"/>
      <c r="F16" s="23"/>
      <c r="G16" s="22" t="s">
        <v>7</v>
      </c>
      <c r="H16" s="22" t="s">
        <v>8</v>
      </c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2:32" ht="12.75" customHeight="1" x14ac:dyDescent="0.2">
      <c r="B17" s="22"/>
      <c r="C17" s="22" t="s">
        <v>9</v>
      </c>
      <c r="D17" s="1"/>
      <c r="E17" s="22" t="s">
        <v>10</v>
      </c>
      <c r="F17" s="22" t="s">
        <v>11</v>
      </c>
      <c r="G17" s="24">
        <f ca="1">SUM(OFFSET(G21,1,0,'Plantilla Sprint'!TaskRows,1))</f>
        <v>0</v>
      </c>
      <c r="H17" s="24">
        <f ca="1">IF(AND(SUM(OFFSET(H21,1,0,'Plantilla Sprint'!TaskRows,1))=0),0,SUM(OFFSET(H21,1,0,'Plantilla Sprint'!TaskRows,1)))</f>
        <v>0</v>
      </c>
      <c r="I17" s="24" t="str">
        <f ca="1">IF(AND(SUM(OFFSET(I21,1,0,'Plantilla Sprint'!TaskRows,1))=0),"",SUM(OFFSET(I21,1,0,'Plantilla Sprint'!TaskRows,1)))</f>
        <v/>
      </c>
      <c r="J17" s="24" t="str">
        <f ca="1">IF(AND(SUM(OFFSET(J21,1,0,'Plantilla Sprint'!TaskRows,1))=0),"",SUM(OFFSET(J21,1,0,'Plantilla Sprint'!TaskRows,1)))</f>
        <v/>
      </c>
      <c r="K17" s="24" t="str">
        <f ca="1">IF(AND(SUM(OFFSET(K21,1,0,'Plantilla Sprint'!TaskRows,1))=0),"",SUM(OFFSET(K21,1,0,'Plantilla Sprint'!TaskRows,1)))</f>
        <v/>
      </c>
      <c r="L17" s="24" t="str">
        <f ca="1">IF(AND(SUM(OFFSET(L21,1,0,'Plantilla Sprint'!TaskRows,1))=0),"",SUM(OFFSET(L21,1,0,'Plantilla Sprint'!TaskRows,1)))</f>
        <v/>
      </c>
      <c r="M17" s="24" t="str">
        <f ca="1">IF(AND(SUM(OFFSET(M21,1,0,'Plantilla Sprint'!TaskRows,1))=0),"",SUM(OFFSET(M21,1,0,'Plantilla Sprint'!TaskRows,1)))</f>
        <v/>
      </c>
      <c r="N17" s="24" t="str">
        <f ca="1">IF(AND(SUM(OFFSET(N21,1,0,'Plantilla Sprint'!TaskRows,1))=0),"",SUM(OFFSET(N21,1,0,'Plantilla Sprint'!TaskRows,1)))</f>
        <v/>
      </c>
      <c r="O17" s="24" t="str">
        <f ca="1">IF(AND(SUM(OFFSET(O21,1,0,'Plantilla Sprint'!TaskRows,1))=0),"",SUM(OFFSET(O21,1,0,'Plantilla Sprint'!TaskRows,1)))</f>
        <v/>
      </c>
      <c r="P17" s="24" t="str">
        <f ca="1">IF(AND(SUM(OFFSET(P21,1,0,'Plantilla Sprint'!TaskRows,1))=0),"",SUM(OFFSET(P21,1,0,'Plantilla Sprint'!TaskRows,1)))</f>
        <v/>
      </c>
      <c r="Q17" s="24" t="str">
        <f ca="1">IF(AND(SUM(OFFSET(Q21,1,0,'Plantilla Sprint'!TaskRows,1))=0),"",SUM(OFFSET(Q21,1,0,'Plantilla Sprint'!TaskRows,1)))</f>
        <v/>
      </c>
      <c r="R17" s="24" t="str">
        <f ca="1">IF(AND(SUM(OFFSET(R21,1,0,'Plantilla Sprint'!TaskRows,1))=0),"",SUM(OFFSET(R21,1,0,'Plantilla Sprint'!TaskRows,1)))</f>
        <v/>
      </c>
      <c r="S17" s="24" t="str">
        <f ca="1">IF(AND(SUM(OFFSET(S21,1,0,'Plantilla Sprint'!TaskRows,1))=0),"",SUM(OFFSET(S21,1,0,'Plantilla Sprint'!TaskRows,1)))</f>
        <v/>
      </c>
      <c r="T17" s="24" t="str">
        <f ca="1">IF(AND(SUM(OFFSET(T21,1,0,'Plantilla Sprint'!TaskRows,1))=0),"",SUM(OFFSET(T21,1,0,'Plantilla Sprint'!TaskRows,1)))</f>
        <v/>
      </c>
      <c r="U17" s="24" t="str">
        <f ca="1">IF(AND(SUM(OFFSET(U21,1,0,'Plantilla Sprint'!TaskRows,1))=0),"",SUM(OFFSET(U21,1,0,'Plantilla Sprint'!TaskRows,1)))</f>
        <v/>
      </c>
      <c r="V17" s="24" t="str">
        <f ca="1">IF(AND(SUM(OFFSET(V21,1,0,'Plantilla Sprint'!TaskRows,1))=0),"",SUM(OFFSET(V21,1,0,'Plantilla Sprint'!TaskRows,1)))</f>
        <v/>
      </c>
      <c r="W17" s="24" t="str">
        <f ca="1">IF(AND(SUM(OFFSET(W21,1,0,'Plantilla Sprint'!TaskRows,1))=0),"",SUM(OFFSET(W21,1,0,'Plantilla Sprint'!TaskRows,1)))</f>
        <v/>
      </c>
      <c r="X17" s="24" t="str">
        <f ca="1">IF(AND(SUM(OFFSET(X21,1,0,'Plantilla Sprint'!TaskRows,1))=0),"",SUM(OFFSET(X21,1,0,'Plantilla Sprint'!TaskRows,1)))</f>
        <v/>
      </c>
      <c r="Y17" s="24" t="str">
        <f ca="1">IF(AND(SUM(OFFSET(Y21,1,0,'Plantilla Sprint'!TaskRows,1))=0),"",SUM(OFFSET(Y21,1,0,'Plantilla Sprint'!TaskRows,1)))</f>
        <v/>
      </c>
      <c r="Z17" s="24" t="str">
        <f ca="1">IF(AND(SUM(OFFSET(Z21,1,0,'Plantilla Sprint'!TaskRows,1))=0),"",SUM(OFFSET(Z21,1,0,'Plantilla Sprint'!TaskRows,1)))</f>
        <v/>
      </c>
      <c r="AA17" s="24" t="str">
        <f ca="1">IF(AND(SUM(OFFSET(AA21,1,0,'Plantilla Sprint'!TaskRows,1))=0),"",SUM(OFFSET(AA21,1,0,'Plantilla Sprint'!TaskRows,1)))</f>
        <v/>
      </c>
      <c r="AB17" s="24" t="str">
        <f ca="1">IF(AND(SUM(OFFSET(AB21,1,0,'Plantilla Sprint'!TaskRows,1))=0),"",SUM(OFFSET(AB21,1,0,'Plantilla Sprint'!TaskRows,1)))</f>
        <v/>
      </c>
      <c r="AC17" s="24" t="str">
        <f ca="1">IF(AND(SUM(OFFSET(AC21,1,0,'Plantilla Sprint'!TaskRows,1))=0),"",SUM(OFFSET(AC21,1,0,'Plantilla Sprint'!TaskRows,1)))</f>
        <v/>
      </c>
      <c r="AD17" s="24" t="str">
        <f ca="1">IF(AND(SUM(OFFSET(AD21,1,0,'Plantilla Sprint'!TaskRows,1))=0),"",SUM(OFFSET(AD21,1,0,'Plantilla Sprint'!TaskRows,1)))</f>
        <v/>
      </c>
      <c r="AE17" s="24" t="str">
        <f ca="1">IF(AND(SUM(OFFSET(AE21,1,0,'Plantilla Sprint'!TaskRows,1))=0),"",SUM(OFFSET(AE21,1,0,'Plantilla Sprint'!TaskRows,1)))</f>
        <v/>
      </c>
      <c r="AF17" s="24" t="str">
        <f ca="1">IF(AND(SUM(OFFSET(AF21,1,0,'Plantilla Sprint'!TaskRows,1))=0),"",SUM(OFFSET(AF21,1,0,'Plantilla Sprint'!TaskRows,1)))</f>
        <v/>
      </c>
    </row>
    <row r="18" spans="2:32" ht="12.75" hidden="1" customHeight="1" x14ac:dyDescent="0.2">
      <c r="C18" s="21" t="s">
        <v>12</v>
      </c>
      <c r="D18" s="1">
        <f>IF(COUNTA(C22:C249)=0,1,COUNTA(C22:C249))</f>
        <v>1</v>
      </c>
      <c r="E18" s="21" t="s">
        <v>13</v>
      </c>
      <c r="F18" s="1">
        <f ca="1">IF(COUNTIF(H17:AF17,"&gt;0")=0,1,COUNTIF(H17:AF17,"&gt;0"))</f>
        <v>1</v>
      </c>
      <c r="G18" s="1"/>
      <c r="H18" s="1">
        <f ca="1">IF(H21="","",$G17-$G17/($D16-1)*(H21-1))</f>
        <v>0</v>
      </c>
      <c r="I18" s="1" t="str">
        <f>IF(I21="","",'Plantilla Sprint'!TotalEffort-'Plantilla Sprint'!TotalEffort/('Plantilla Sprint'!ImplementationDays)*(I21-1))</f>
        <v/>
      </c>
      <c r="J18" s="1" t="str">
        <f>IF(J21="","",'Plantilla Sprint'!TotalEffort-'Plantilla Sprint'!TotalEffort/('Plantilla Sprint'!ImplementationDays)*(J21-1))</f>
        <v/>
      </c>
      <c r="K18" s="1" t="str">
        <f>IF(K21="","",'Plantilla Sprint'!TotalEffort-'Plantilla Sprint'!TotalEffort/('Plantilla Sprint'!ImplementationDays)*(K21-1))</f>
        <v/>
      </c>
      <c r="L18" s="1" t="str">
        <f>IF(L21="","",'Plantilla Sprint'!TotalEffort-'Plantilla Sprint'!TotalEffort/('Plantilla Sprint'!ImplementationDays)*(L21-1))</f>
        <v/>
      </c>
      <c r="M18" s="1" t="str">
        <f>IF(M21="","",'Plantilla Sprint'!TotalEffort-'Plantilla Sprint'!TotalEffort/('Plantilla Sprint'!ImplementationDays)*(M21-1))</f>
        <v/>
      </c>
      <c r="N18" s="1" t="str">
        <f>IF(N21="","",'Plantilla Sprint'!TotalEffort-'Plantilla Sprint'!TotalEffort/('Plantilla Sprint'!ImplementationDays)*(N21-1))</f>
        <v/>
      </c>
      <c r="O18" s="1" t="str">
        <f>IF(O21="","",'Plantilla Sprint'!TotalEffort-'Plantilla Sprint'!TotalEffort/('Plantilla Sprint'!ImplementationDays)*(O21-1))</f>
        <v/>
      </c>
      <c r="P18" s="1" t="str">
        <f>IF(P21="","",'Plantilla Sprint'!TotalEffort-'Plantilla Sprint'!TotalEffort/('Plantilla Sprint'!ImplementationDays)*(P21-1))</f>
        <v/>
      </c>
      <c r="Q18" s="1" t="str">
        <f>IF(Q21="","",'Plantilla Sprint'!TotalEffort-'Plantilla Sprint'!TotalEffort/('Plantilla Sprint'!ImplementationDays)*(Q21-1))</f>
        <v/>
      </c>
      <c r="R18" s="1" t="str">
        <f>IF(R21="","",'Plantilla Sprint'!TotalEffort-'Plantilla Sprint'!TotalEffort/('Plantilla Sprint'!ImplementationDays)*(R21-1))</f>
        <v/>
      </c>
      <c r="S18" s="1" t="str">
        <f>IF(S21="","",'Plantilla Sprint'!TotalEffort-'Plantilla Sprint'!TotalEffort/('Plantilla Sprint'!ImplementationDays)*(S21-1))</f>
        <v/>
      </c>
      <c r="T18" s="1" t="str">
        <f>IF(T21="","",'Plantilla Sprint'!TotalEffort-'Plantilla Sprint'!TotalEffort/('Plantilla Sprint'!ImplementationDays)*(T21-1))</f>
        <v/>
      </c>
      <c r="U18" s="1" t="str">
        <f>IF(U21="","",'Plantilla Sprint'!TotalEffort-'Plantilla Sprint'!TotalEffort/('Plantilla Sprint'!ImplementationDays)*(U21-1))</f>
        <v/>
      </c>
      <c r="V18" s="1" t="str">
        <f>IF(V21="","",'Plantilla Sprint'!TotalEffort-'Plantilla Sprint'!TotalEffort/('Plantilla Sprint'!ImplementationDays)*(V21-1))</f>
        <v/>
      </c>
      <c r="W18" s="1" t="str">
        <f>IF(W21="","",'Plantilla Sprint'!TotalEffort-'Plantilla Sprint'!TotalEffort/('Plantilla Sprint'!ImplementationDays)*(W21-1))</f>
        <v/>
      </c>
      <c r="X18" s="1" t="str">
        <f>IF(X21="","",'Plantilla Sprint'!TotalEffort-'Plantilla Sprint'!TotalEffort/('Plantilla Sprint'!ImplementationDays)*(X21-1))</f>
        <v/>
      </c>
      <c r="Y18" s="1" t="str">
        <f>IF(Y21="","",'Plantilla Sprint'!TotalEffort-'Plantilla Sprint'!TotalEffort/('Plantilla Sprint'!ImplementationDays)*(Y21-1))</f>
        <v/>
      </c>
      <c r="Z18" s="1" t="str">
        <f>IF(Z21="","",'Plantilla Sprint'!TotalEffort-'Plantilla Sprint'!TotalEffort/('Plantilla Sprint'!ImplementationDays)*(Z21-1))</f>
        <v/>
      </c>
      <c r="AA18" s="1" t="str">
        <f>IF(AA21="","",'Plantilla Sprint'!TotalEffort-'Plantilla Sprint'!TotalEffort/('Plantilla Sprint'!ImplementationDays)*(AA21-1))</f>
        <v/>
      </c>
      <c r="AB18" s="1" t="str">
        <f>IF(AB21="","",'Plantilla Sprint'!TotalEffort-'Plantilla Sprint'!TotalEffort/('Plantilla Sprint'!ImplementationDays)*(AB21-1))</f>
        <v/>
      </c>
      <c r="AC18" s="1" t="str">
        <f>IF(AC21="","",'Plantilla Sprint'!TotalEffort-'Plantilla Sprint'!TotalEffort/('Plantilla Sprint'!ImplementationDays)*(AC21-1))</f>
        <v/>
      </c>
      <c r="AD18" s="1" t="str">
        <f>IF(AD21="","",'Plantilla Sprint'!TotalEffort-'Plantilla Sprint'!TotalEffort/('Plantilla Sprint'!ImplementationDays)*(AD21-1))</f>
        <v/>
      </c>
      <c r="AE18" s="1" t="str">
        <f>IF(AE21="","",'Plantilla Sprint'!TotalEffort-'Plantilla Sprint'!TotalEffort/('Plantilla Sprint'!ImplementationDays)*(AE21-1))</f>
        <v/>
      </c>
      <c r="AF18" s="1" t="str">
        <f>IF(AF21="","",'Plantilla Sprint'!TotalEffort-'Plantilla Sprint'!TotalEffort/('Plantilla Sprint'!ImplementationDays)*(AF21-1))</f>
        <v/>
      </c>
    </row>
    <row r="19" spans="2:32" ht="12.75" hidden="1" customHeight="1" x14ac:dyDescent="0.2">
      <c r="C19" s="25" t="s">
        <v>14</v>
      </c>
      <c r="E19" s="21" t="s">
        <v>15</v>
      </c>
      <c r="F19" s="1"/>
      <c r="G19" s="1"/>
      <c r="H19" s="1" t="e">
        <f t="array" aca="1" ref="H19" ca="1">IF(TREND(OFFSET($H17,0,'Plantilla Sprint'!DoneDays-'Plantilla Sprint'!TrendDays,1,'Plantilla Sprint'!TrendDays),OFFSET($H20,0,'Plantilla Sprint'!DoneDays-'Plantilla Sprint'!TrendDays,1,'Plantilla Sprint'!TrendDays),H20)&lt;0,"",TREND(OFFSET($H17,0,'Plantilla Sprint'!DoneDays-'Plantilla Sprint'!TrendDays,1,'Plantilla Sprint'!TrendDays),OFFSET($H20,0,'Plantilla Sprint'!DoneDays-'Plantilla Sprint'!TrendDays,1,'Plantilla Sprint'!TrendDays),H20))</f>
        <v>#REF!</v>
      </c>
      <c r="I19" s="1" t="e">
        <f t="array" aca="1" ref="I19" ca="1">IF(TREND(OFFSET($H17,0,'Plantilla Sprint'!DoneDays-'Plantilla Sprint'!TrendDays,1,'Plantilla Sprint'!TrendDays),OFFSET($H20,0,'Plantilla Sprint'!DoneDays-'Plantilla Sprint'!TrendDays,1,'Plantilla Sprint'!TrendDays),I20)&lt;0,"",TREND(OFFSET($H17,0,'Plantilla Sprint'!DoneDays-'Plantilla Sprint'!TrendDays,1,'Plantilla Sprint'!TrendDays),OFFSET($H20,0,'Plantilla Sprint'!DoneDays-'Plantilla Sprint'!TrendDays,1,'Plantilla Sprint'!TrendDays),I20))</f>
        <v>#REF!</v>
      </c>
      <c r="J19" s="1" t="e">
        <f t="array" aca="1" ref="J19" ca="1">IF(TREND(OFFSET($H17,0,'Plantilla Sprint'!DoneDays-'Plantilla Sprint'!TrendDays,1,'Plantilla Sprint'!TrendDays),OFFSET($H20,0,'Plantilla Sprint'!DoneDays-'Plantilla Sprint'!TrendDays,1,'Plantilla Sprint'!TrendDays),J20)&lt;0,"",TREND(OFFSET($H17,0,'Plantilla Sprint'!DoneDays-'Plantilla Sprint'!TrendDays,1,'Plantilla Sprint'!TrendDays),OFFSET($H20,0,'Plantilla Sprint'!DoneDays-'Plantilla Sprint'!TrendDays,1,'Plantilla Sprint'!TrendDays),J20))</f>
        <v>#REF!</v>
      </c>
      <c r="K19" s="1" t="e">
        <f t="array" aca="1" ref="K19" ca="1">IF(TREND(OFFSET($H17,0,'Plantilla Sprint'!DoneDays-'Plantilla Sprint'!TrendDays,1,'Plantilla Sprint'!TrendDays),OFFSET($H20,0,'Plantilla Sprint'!DoneDays-'Plantilla Sprint'!TrendDays,1,'Plantilla Sprint'!TrendDays),K20)&lt;0,"",TREND(OFFSET($H17,0,'Plantilla Sprint'!DoneDays-'Plantilla Sprint'!TrendDays,1,'Plantilla Sprint'!TrendDays),OFFSET($H20,0,'Plantilla Sprint'!DoneDays-'Plantilla Sprint'!TrendDays,1,'Plantilla Sprint'!TrendDays),K20))</f>
        <v>#REF!</v>
      </c>
      <c r="L19" s="1" t="e">
        <f t="array" aca="1" ref="L19" ca="1">IF(TREND(OFFSET($H17,0,'Plantilla Sprint'!DoneDays-'Plantilla Sprint'!TrendDays,1,'Plantilla Sprint'!TrendDays),OFFSET($H20,0,'Plantilla Sprint'!DoneDays-'Plantilla Sprint'!TrendDays,1,'Plantilla Sprint'!TrendDays),L20)&lt;0,"",TREND(OFFSET($H17,0,'Plantilla Sprint'!DoneDays-'Plantilla Sprint'!TrendDays,1,'Plantilla Sprint'!TrendDays),OFFSET($H20,0,'Plantilla Sprint'!DoneDays-'Plantilla Sprint'!TrendDays,1,'Plantilla Sprint'!TrendDays),L20))</f>
        <v>#REF!</v>
      </c>
      <c r="M19" s="1" t="e">
        <f t="array" aca="1" ref="M19" ca="1">IF(TREND(OFFSET($H17,0,'Plantilla Sprint'!DoneDays-'Plantilla Sprint'!TrendDays,1,'Plantilla Sprint'!TrendDays),OFFSET($H20,0,'Plantilla Sprint'!DoneDays-'Plantilla Sprint'!TrendDays,1,'Plantilla Sprint'!TrendDays),M20)&lt;0,"",TREND(OFFSET($H17,0,'Plantilla Sprint'!DoneDays-'Plantilla Sprint'!TrendDays,1,'Plantilla Sprint'!TrendDays),OFFSET($H20,0,'Plantilla Sprint'!DoneDays-'Plantilla Sprint'!TrendDays,1,'Plantilla Sprint'!TrendDays),M20))</f>
        <v>#REF!</v>
      </c>
      <c r="N19" s="1" t="e">
        <f t="array" aca="1" ref="N19" ca="1">IF(TREND(OFFSET($H17,0,'Plantilla Sprint'!DoneDays-'Plantilla Sprint'!TrendDays,1,'Plantilla Sprint'!TrendDays),OFFSET($H20,0,'Plantilla Sprint'!DoneDays-'Plantilla Sprint'!TrendDays,1,'Plantilla Sprint'!TrendDays),N20)&lt;0,"",TREND(OFFSET($H17,0,'Plantilla Sprint'!DoneDays-'Plantilla Sprint'!TrendDays,1,'Plantilla Sprint'!TrendDays),OFFSET($H20,0,'Plantilla Sprint'!DoneDays-'Plantilla Sprint'!TrendDays,1,'Plantilla Sprint'!TrendDays),N20))</f>
        <v>#REF!</v>
      </c>
      <c r="O19" s="1" t="e">
        <f t="array" aca="1" ref="O19" ca="1">IF(TREND(OFFSET($H17,0,'Plantilla Sprint'!DoneDays-'Plantilla Sprint'!TrendDays,1,'Plantilla Sprint'!TrendDays),OFFSET($H20,0,'Plantilla Sprint'!DoneDays-'Plantilla Sprint'!TrendDays,1,'Plantilla Sprint'!TrendDays),O20)&lt;0,"",TREND(OFFSET($H17,0,'Plantilla Sprint'!DoneDays-'Plantilla Sprint'!TrendDays,1,'Plantilla Sprint'!TrendDays),OFFSET($H20,0,'Plantilla Sprint'!DoneDays-'Plantilla Sprint'!TrendDays,1,'Plantilla Sprint'!TrendDays),O20))</f>
        <v>#REF!</v>
      </c>
      <c r="P19" s="1" t="e">
        <f t="array" aca="1" ref="P19" ca="1">IF(TREND(OFFSET($H17,0,'Plantilla Sprint'!DoneDays-'Plantilla Sprint'!TrendDays,1,'Plantilla Sprint'!TrendDays),OFFSET($H20,0,'Plantilla Sprint'!DoneDays-'Plantilla Sprint'!TrendDays,1,'Plantilla Sprint'!TrendDays),P20)&lt;0,"",TREND(OFFSET($H17,0,'Plantilla Sprint'!DoneDays-'Plantilla Sprint'!TrendDays,1,'Plantilla Sprint'!TrendDays),OFFSET($H20,0,'Plantilla Sprint'!DoneDays-'Plantilla Sprint'!TrendDays,1,'Plantilla Sprint'!TrendDays),P20))</f>
        <v>#REF!</v>
      </c>
      <c r="Q19" s="1" t="e">
        <f t="array" aca="1" ref="Q19" ca="1">IF(TREND(OFFSET($H17,0,'Plantilla Sprint'!DoneDays-'Plantilla Sprint'!TrendDays,1,'Plantilla Sprint'!TrendDays),OFFSET($H20,0,'Plantilla Sprint'!DoneDays-'Plantilla Sprint'!TrendDays,1,'Plantilla Sprint'!TrendDays),Q20)&lt;0,"",TREND(OFFSET($H17,0,'Plantilla Sprint'!DoneDays-'Plantilla Sprint'!TrendDays,1,'Plantilla Sprint'!TrendDays),OFFSET($H20,0,'Plantilla Sprint'!DoneDays-'Plantilla Sprint'!TrendDays,1,'Plantilla Sprint'!TrendDays),Q20))</f>
        <v>#REF!</v>
      </c>
      <c r="R19" s="1" t="e">
        <f t="array" aca="1" ref="R19" ca="1">IF(TREND(OFFSET($H17,0,'Plantilla Sprint'!DoneDays-'Plantilla Sprint'!TrendDays,1,'Plantilla Sprint'!TrendDays),OFFSET($H20,0,'Plantilla Sprint'!DoneDays-'Plantilla Sprint'!TrendDays,1,'Plantilla Sprint'!TrendDays),R20)&lt;0,"",TREND(OFFSET($H17,0,'Plantilla Sprint'!DoneDays-'Plantilla Sprint'!TrendDays,1,'Plantilla Sprint'!TrendDays),OFFSET($H20,0,'Plantilla Sprint'!DoneDays-'Plantilla Sprint'!TrendDays,1,'Plantilla Sprint'!TrendDays),R20))</f>
        <v>#REF!</v>
      </c>
      <c r="S19" s="1" t="e">
        <f t="array" aca="1" ref="S19" ca="1">IF(TREND(OFFSET($H17,0,'Plantilla Sprint'!DoneDays-'Plantilla Sprint'!TrendDays,1,'Plantilla Sprint'!TrendDays),OFFSET($H20,0,'Plantilla Sprint'!DoneDays-'Plantilla Sprint'!TrendDays,1,'Plantilla Sprint'!TrendDays),S20)&lt;0,"",TREND(OFFSET($H17,0,'Plantilla Sprint'!DoneDays-'Plantilla Sprint'!TrendDays,1,'Plantilla Sprint'!TrendDays),OFFSET($H20,0,'Plantilla Sprint'!DoneDays-'Plantilla Sprint'!TrendDays,1,'Plantilla Sprint'!TrendDays),S20))</f>
        <v>#REF!</v>
      </c>
      <c r="T19" s="1" t="e">
        <f t="array" aca="1" ref="T19" ca="1">IF(TREND(OFFSET($H17,0,'Plantilla Sprint'!DoneDays-'Plantilla Sprint'!TrendDays,1,'Plantilla Sprint'!TrendDays),OFFSET($H20,0,'Plantilla Sprint'!DoneDays-'Plantilla Sprint'!TrendDays,1,'Plantilla Sprint'!TrendDays),T20)&lt;0,"",TREND(OFFSET($H17,0,'Plantilla Sprint'!DoneDays-'Plantilla Sprint'!TrendDays,1,'Plantilla Sprint'!TrendDays),OFFSET($H20,0,'Plantilla Sprint'!DoneDays-'Plantilla Sprint'!TrendDays,1,'Plantilla Sprint'!TrendDays),T20))</f>
        <v>#REF!</v>
      </c>
      <c r="U19" s="1" t="e">
        <f t="array" aca="1" ref="U19" ca="1">IF(TREND(OFFSET($H17,0,'Plantilla Sprint'!DoneDays-'Plantilla Sprint'!TrendDays,1,'Plantilla Sprint'!TrendDays),OFFSET($H20,0,'Plantilla Sprint'!DoneDays-'Plantilla Sprint'!TrendDays,1,'Plantilla Sprint'!TrendDays),U20)&lt;0,"",TREND(OFFSET($H17,0,'Plantilla Sprint'!DoneDays-'Plantilla Sprint'!TrendDays,1,'Plantilla Sprint'!TrendDays),OFFSET($H20,0,'Plantilla Sprint'!DoneDays-'Plantilla Sprint'!TrendDays,1,'Plantilla Sprint'!TrendDays),U20))</f>
        <v>#REF!</v>
      </c>
      <c r="V19" s="1" t="e">
        <f t="array" aca="1" ref="V19" ca="1">IF(TREND(OFFSET($H17,0,'Plantilla Sprint'!DoneDays-'Plantilla Sprint'!TrendDays,1,'Plantilla Sprint'!TrendDays),OFFSET($H20,0,'Plantilla Sprint'!DoneDays-'Plantilla Sprint'!TrendDays,1,'Plantilla Sprint'!TrendDays),V20)&lt;0,"",TREND(OFFSET($H17,0,'Plantilla Sprint'!DoneDays-'Plantilla Sprint'!TrendDays,1,'Plantilla Sprint'!TrendDays),OFFSET($H20,0,'Plantilla Sprint'!DoneDays-'Plantilla Sprint'!TrendDays,1,'Plantilla Sprint'!TrendDays),V20))</f>
        <v>#REF!</v>
      </c>
      <c r="W19" s="1" t="e">
        <f t="array" aca="1" ref="W19" ca="1">IF(TREND(OFFSET($H17,0,'Plantilla Sprint'!DoneDays-'Plantilla Sprint'!TrendDays,1,'Plantilla Sprint'!TrendDays),OFFSET($H20,0,'Plantilla Sprint'!DoneDays-'Plantilla Sprint'!TrendDays,1,'Plantilla Sprint'!TrendDays),W20)&lt;0,"",TREND(OFFSET($H17,0,'Plantilla Sprint'!DoneDays-'Plantilla Sprint'!TrendDays,1,'Plantilla Sprint'!TrendDays),OFFSET($H20,0,'Plantilla Sprint'!DoneDays-'Plantilla Sprint'!TrendDays,1,'Plantilla Sprint'!TrendDays),W20))</f>
        <v>#REF!</v>
      </c>
      <c r="X19" s="1" t="e">
        <f t="array" aca="1" ref="X19" ca="1">IF(TREND(OFFSET($H17,0,'Plantilla Sprint'!DoneDays-'Plantilla Sprint'!TrendDays,1,'Plantilla Sprint'!TrendDays),OFFSET($H20,0,'Plantilla Sprint'!DoneDays-'Plantilla Sprint'!TrendDays,1,'Plantilla Sprint'!TrendDays),X20)&lt;0,"",TREND(OFFSET($H17,0,'Plantilla Sprint'!DoneDays-'Plantilla Sprint'!TrendDays,1,'Plantilla Sprint'!TrendDays),OFFSET($H20,0,'Plantilla Sprint'!DoneDays-'Plantilla Sprint'!TrendDays,1,'Plantilla Sprint'!TrendDays),X20))</f>
        <v>#REF!</v>
      </c>
      <c r="Y19" s="1" t="e">
        <f t="array" aca="1" ref="Y19" ca="1">IF(TREND(OFFSET($H17,0,'Plantilla Sprint'!DoneDays-'Plantilla Sprint'!TrendDays,1,'Plantilla Sprint'!TrendDays),OFFSET($H20,0,'Plantilla Sprint'!DoneDays-'Plantilla Sprint'!TrendDays,1,'Plantilla Sprint'!TrendDays),Y20)&lt;0,"",TREND(OFFSET($H17,0,'Plantilla Sprint'!DoneDays-'Plantilla Sprint'!TrendDays,1,'Plantilla Sprint'!TrendDays),OFFSET($H20,0,'Plantilla Sprint'!DoneDays-'Plantilla Sprint'!TrendDays,1,'Plantilla Sprint'!TrendDays),Y20))</f>
        <v>#REF!</v>
      </c>
      <c r="Z19" s="1" t="e">
        <f t="array" aca="1" ref="Z19" ca="1">IF(TREND(OFFSET($H17,0,'Plantilla Sprint'!DoneDays-'Plantilla Sprint'!TrendDays,1,'Plantilla Sprint'!TrendDays),OFFSET($H20,0,'Plantilla Sprint'!DoneDays-'Plantilla Sprint'!TrendDays,1,'Plantilla Sprint'!TrendDays),Z20)&lt;0,"",TREND(OFFSET($H17,0,'Plantilla Sprint'!DoneDays-'Plantilla Sprint'!TrendDays,1,'Plantilla Sprint'!TrendDays),OFFSET($H20,0,'Plantilla Sprint'!DoneDays-'Plantilla Sprint'!TrendDays,1,'Plantilla Sprint'!TrendDays),Z20))</f>
        <v>#REF!</v>
      </c>
      <c r="AA19" s="1" t="e">
        <f t="array" aca="1" ref="AA19" ca="1">IF(TREND(OFFSET($H17,0,'Plantilla Sprint'!DoneDays-'Plantilla Sprint'!TrendDays,1,'Plantilla Sprint'!TrendDays),OFFSET($H20,0,'Plantilla Sprint'!DoneDays-'Plantilla Sprint'!TrendDays,1,'Plantilla Sprint'!TrendDays),AA20)&lt;0,"",TREND(OFFSET($H17,0,'Plantilla Sprint'!DoneDays-'Plantilla Sprint'!TrendDays,1,'Plantilla Sprint'!TrendDays),OFFSET($H20,0,'Plantilla Sprint'!DoneDays-'Plantilla Sprint'!TrendDays,1,'Plantilla Sprint'!TrendDays),AA20))</f>
        <v>#REF!</v>
      </c>
      <c r="AB19" s="1" t="e">
        <f t="array" aca="1" ref="AB19" ca="1">IF(TREND(OFFSET($H17,0,'Plantilla Sprint'!DoneDays-'Plantilla Sprint'!TrendDays,1,'Plantilla Sprint'!TrendDays),OFFSET($H20,0,'Plantilla Sprint'!DoneDays-'Plantilla Sprint'!TrendDays,1,'Plantilla Sprint'!TrendDays),AB20)&lt;0,"",TREND(OFFSET($H17,0,'Plantilla Sprint'!DoneDays-'Plantilla Sprint'!TrendDays,1,'Plantilla Sprint'!TrendDays),OFFSET($H20,0,'Plantilla Sprint'!DoneDays-'Plantilla Sprint'!TrendDays,1,'Plantilla Sprint'!TrendDays),AB20))</f>
        <v>#REF!</v>
      </c>
      <c r="AC19" s="1" t="e">
        <f t="array" aca="1" ref="AC19" ca="1">IF(TREND(OFFSET($H17,0,'Plantilla Sprint'!DoneDays-'Plantilla Sprint'!TrendDays,1,'Plantilla Sprint'!TrendDays),OFFSET($H20,0,'Plantilla Sprint'!DoneDays-'Plantilla Sprint'!TrendDays,1,'Plantilla Sprint'!TrendDays),AC20)&lt;0,"",TREND(OFFSET($H17,0,'Plantilla Sprint'!DoneDays-'Plantilla Sprint'!TrendDays,1,'Plantilla Sprint'!TrendDays),OFFSET($H20,0,'Plantilla Sprint'!DoneDays-'Plantilla Sprint'!TrendDays,1,'Plantilla Sprint'!TrendDays),AC20))</f>
        <v>#REF!</v>
      </c>
      <c r="AD19" s="1" t="e">
        <f t="array" aca="1" ref="AD19" ca="1">IF(TREND(OFFSET($H17,0,'Plantilla Sprint'!DoneDays-'Plantilla Sprint'!TrendDays,1,'Plantilla Sprint'!TrendDays),OFFSET($H20,0,'Plantilla Sprint'!DoneDays-'Plantilla Sprint'!TrendDays,1,'Plantilla Sprint'!TrendDays),AD20)&lt;0,"",TREND(OFFSET($H17,0,'Plantilla Sprint'!DoneDays-'Plantilla Sprint'!TrendDays,1,'Plantilla Sprint'!TrendDays),OFFSET($H20,0,'Plantilla Sprint'!DoneDays-'Plantilla Sprint'!TrendDays,1,'Plantilla Sprint'!TrendDays),AD20))</f>
        <v>#REF!</v>
      </c>
      <c r="AE19" s="1" t="e">
        <f t="array" aca="1" ref="AE19" ca="1">IF(TREND(OFFSET($H17,0,'Plantilla Sprint'!DoneDays-'Plantilla Sprint'!TrendDays,1,'Plantilla Sprint'!TrendDays),OFFSET($H20,0,'Plantilla Sprint'!DoneDays-'Plantilla Sprint'!TrendDays,1,'Plantilla Sprint'!TrendDays),AE20)&lt;0,"",TREND(OFFSET($H17,0,'Plantilla Sprint'!DoneDays-'Plantilla Sprint'!TrendDays,1,'Plantilla Sprint'!TrendDays),OFFSET($H20,0,'Plantilla Sprint'!DoneDays-'Plantilla Sprint'!TrendDays,1,'Plantilla Sprint'!TrendDays),AE20))</f>
        <v>#REF!</v>
      </c>
      <c r="AF19" s="1" t="e">
        <f t="array" aca="1" ref="AF19" ca="1">IF(TREND(OFFSET($H17,0,'Plantilla Sprint'!DoneDays-'Plantilla Sprint'!TrendDays,1,'Plantilla Sprint'!TrendDays),OFFSET($H20,0,'Plantilla Sprint'!DoneDays-'Plantilla Sprint'!TrendDays,1,'Plantilla Sprint'!TrendDays),AF20)&lt;0,"",TREND(OFFSET($H17,0,'Plantilla Sprint'!DoneDays-'Plantilla Sprint'!TrendDays,1,'Plantilla Sprint'!TrendDays),OFFSET($H20,0,'Plantilla Sprint'!DoneDays-'Plantilla Sprint'!TrendDays,1,'Plantilla Sprint'!TrendDays),AF20))</f>
        <v>#REF!</v>
      </c>
    </row>
    <row r="20" spans="2:32" ht="12.75" hidden="1" customHeight="1" x14ac:dyDescent="0.2">
      <c r="C20" s="25" t="s">
        <v>16</v>
      </c>
      <c r="E20" s="21" t="s">
        <v>17</v>
      </c>
      <c r="F20" s="1">
        <f ca="1">IF('Plantilla Sprint'!DoneDays&gt;D17,D17,'Plantilla Sprint'!DoneDays)</f>
        <v>0</v>
      </c>
      <c r="G20" s="1"/>
      <c r="H20" s="1">
        <f ca="1">IF('Plantilla Sprint'!DoneDays&gt;G20,G20+1,"")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ht="12.75" customHeight="1" x14ac:dyDescent="0.2">
      <c r="B21" s="22" t="s">
        <v>18</v>
      </c>
      <c r="C21" s="26" t="s">
        <v>19</v>
      </c>
      <c r="D21" s="26" t="s">
        <v>20</v>
      </c>
      <c r="E21" s="26" t="s">
        <v>21</v>
      </c>
      <c r="F21" s="26" t="s">
        <v>22</v>
      </c>
      <c r="G21" s="26" t="s">
        <v>23</v>
      </c>
      <c r="H21" s="26">
        <v>1</v>
      </c>
      <c r="I21" s="26" t="str">
        <f t="shared" ref="I21:AF21" si="0">IF($D$16&gt;H21,H21+1,"")</f>
        <v/>
      </c>
      <c r="J21" s="26" t="str">
        <f t="shared" si="0"/>
        <v/>
      </c>
      <c r="K21" s="26" t="str">
        <f t="shared" si="0"/>
        <v/>
      </c>
      <c r="L21" s="26" t="str">
        <f t="shared" si="0"/>
        <v/>
      </c>
      <c r="M21" s="26" t="str">
        <f t="shared" si="0"/>
        <v/>
      </c>
      <c r="N21" s="26" t="str">
        <f t="shared" si="0"/>
        <v/>
      </c>
      <c r="O21" s="26" t="str">
        <f t="shared" si="0"/>
        <v/>
      </c>
      <c r="P21" s="26" t="str">
        <f t="shared" si="0"/>
        <v/>
      </c>
      <c r="Q21" s="26" t="str">
        <f t="shared" si="0"/>
        <v/>
      </c>
      <c r="R21" s="26" t="str">
        <f t="shared" si="0"/>
        <v/>
      </c>
      <c r="S21" s="26" t="str">
        <f t="shared" si="0"/>
        <v/>
      </c>
      <c r="T21" s="26" t="str">
        <f t="shared" si="0"/>
        <v/>
      </c>
      <c r="U21" s="26" t="str">
        <f t="shared" si="0"/>
        <v/>
      </c>
      <c r="V21" s="26" t="str">
        <f t="shared" si="0"/>
        <v/>
      </c>
      <c r="W21" s="26" t="str">
        <f t="shared" si="0"/>
        <v/>
      </c>
      <c r="X21" s="26" t="str">
        <f t="shared" si="0"/>
        <v/>
      </c>
      <c r="Y21" s="26" t="str">
        <f t="shared" si="0"/>
        <v/>
      </c>
      <c r="Z21" s="26" t="str">
        <f t="shared" si="0"/>
        <v/>
      </c>
      <c r="AA21" s="26" t="str">
        <f t="shared" si="0"/>
        <v/>
      </c>
      <c r="AB21" s="26" t="str">
        <f t="shared" si="0"/>
        <v/>
      </c>
      <c r="AC21" s="26" t="str">
        <f t="shared" si="0"/>
        <v/>
      </c>
      <c r="AD21" s="26" t="str">
        <f t="shared" si="0"/>
        <v/>
      </c>
      <c r="AE21" s="26" t="str">
        <f t="shared" si="0"/>
        <v/>
      </c>
      <c r="AF21" s="26" t="str">
        <f t="shared" si="0"/>
        <v/>
      </c>
    </row>
    <row r="22" spans="2:32" ht="12.75" customHeight="1" x14ac:dyDescent="0.2">
      <c r="D22" s="1"/>
      <c r="F22" s="21" t="str">
        <f t="shared" ref="F22:F63" si="1">IF(C22&lt;&gt;"","Planned","")</f>
        <v/>
      </c>
      <c r="G22" s="1"/>
      <c r="H22" s="1" t="str">
        <f t="shared" ref="H22:H66" si="2">IF(OR(H$21="",$G22=""),"",G22)</f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3">IF(OR(AE$21="",$G22=""),"",AD22)</f>
        <v/>
      </c>
      <c r="AF22" s="1" t="str">
        <f t="shared" si="3"/>
        <v/>
      </c>
    </row>
    <row r="23" spans="2:32" ht="12.75" customHeight="1" x14ac:dyDescent="0.2">
      <c r="D23" s="1"/>
      <c r="F23" s="21" t="str">
        <f t="shared" si="1"/>
        <v/>
      </c>
      <c r="G23" s="1"/>
      <c r="H23" s="1" t="str">
        <f t="shared" si="2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4">IF(OR(AE$21="",$G23=""),"",AD23)</f>
        <v/>
      </c>
      <c r="AF23" s="1" t="str">
        <f t="shared" si="4"/>
        <v/>
      </c>
    </row>
    <row r="24" spans="2:32" ht="12.75" customHeight="1" x14ac:dyDescent="0.2">
      <c r="D24" s="1"/>
      <c r="F24" s="21" t="str">
        <f t="shared" si="1"/>
        <v/>
      </c>
      <c r="G24" s="1"/>
      <c r="H24" s="1" t="str">
        <f t="shared" si="2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5">IF(OR(AE$21="",$G24=""),"",AD24)</f>
        <v/>
      </c>
      <c r="AF24" s="1" t="str">
        <f t="shared" si="5"/>
        <v/>
      </c>
    </row>
    <row r="25" spans="2:32" ht="12.75" customHeight="1" x14ac:dyDescent="0.2">
      <c r="D25" s="1"/>
      <c r="F25" s="21" t="str">
        <f t="shared" si="1"/>
        <v/>
      </c>
      <c r="G25" s="1"/>
      <c r="H25" s="1" t="str">
        <f t="shared" si="2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6">IF(OR(AE$21="",$G25=""),"",AD25)</f>
        <v/>
      </c>
      <c r="AF25" s="1" t="str">
        <f t="shared" si="6"/>
        <v/>
      </c>
    </row>
    <row r="26" spans="2:32" ht="12.75" customHeight="1" x14ac:dyDescent="0.2">
      <c r="D26" s="1"/>
      <c r="F26" s="21" t="str">
        <f t="shared" si="1"/>
        <v/>
      </c>
      <c r="G26" s="1"/>
      <c r="H26" s="1" t="str">
        <f t="shared" si="2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7">IF(OR(AE$21="",$G26=""),"",AD26)</f>
        <v/>
      </c>
      <c r="AF26" s="1" t="str">
        <f t="shared" si="7"/>
        <v/>
      </c>
    </row>
    <row r="27" spans="2:32" ht="12.75" customHeight="1" x14ac:dyDescent="0.2">
      <c r="D27" s="1"/>
      <c r="F27" s="21" t="str">
        <f t="shared" si="1"/>
        <v/>
      </c>
      <c r="G27" s="1"/>
      <c r="H27" s="1" t="str">
        <f t="shared" si="2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8">IF(OR(AE$21="",$G27=""),"",AD27)</f>
        <v/>
      </c>
      <c r="AF27" s="1" t="str">
        <f t="shared" si="8"/>
        <v/>
      </c>
    </row>
    <row r="28" spans="2:32" ht="12.75" customHeight="1" x14ac:dyDescent="0.2">
      <c r="D28" s="1"/>
      <c r="F28" s="21" t="str">
        <f t="shared" si="1"/>
        <v/>
      </c>
      <c r="G28" s="1"/>
      <c r="H28" s="1" t="str">
        <f t="shared" si="2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9">IF(OR(AE$21="",$G28=""),"",AD28)</f>
        <v/>
      </c>
      <c r="AF28" s="1" t="str">
        <f t="shared" si="9"/>
        <v/>
      </c>
    </row>
    <row r="29" spans="2:32" ht="12.75" customHeight="1" x14ac:dyDescent="0.2">
      <c r="D29" s="1"/>
      <c r="F29" s="21" t="str">
        <f t="shared" si="1"/>
        <v/>
      </c>
      <c r="G29" s="1"/>
      <c r="H29" s="1" t="str">
        <f t="shared" si="2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10">IF(OR(AE$21="",$G29=""),"",AD29)</f>
        <v/>
      </c>
      <c r="AF29" s="1" t="str">
        <f t="shared" si="10"/>
        <v/>
      </c>
    </row>
    <row r="30" spans="2:32" ht="12.75" customHeight="1" x14ac:dyDescent="0.2">
      <c r="D30" s="1"/>
      <c r="F30" s="21" t="str">
        <f t="shared" si="1"/>
        <v/>
      </c>
      <c r="G30" s="1"/>
      <c r="H30" s="1" t="str">
        <f t="shared" si="2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1">IF(OR(AE$21="",$G30=""),"",AD30)</f>
        <v/>
      </c>
      <c r="AF30" s="1" t="str">
        <f t="shared" si="11"/>
        <v/>
      </c>
    </row>
    <row r="31" spans="2:32" ht="12.75" customHeight="1" x14ac:dyDescent="0.2">
      <c r="D31" s="1"/>
      <c r="F31" s="21" t="str">
        <f t="shared" si="1"/>
        <v/>
      </c>
      <c r="G31" s="1"/>
      <c r="H31" s="1" t="str">
        <f t="shared" si="2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2">IF(OR(AE$21="",$G31=""),"",AD31)</f>
        <v/>
      </c>
      <c r="AF31" s="1" t="str">
        <f t="shared" si="12"/>
        <v/>
      </c>
    </row>
    <row r="32" spans="2:32" ht="12.75" customHeight="1" x14ac:dyDescent="0.2">
      <c r="D32" s="1"/>
      <c r="F32" s="21" t="str">
        <f t="shared" si="1"/>
        <v/>
      </c>
      <c r="G32" s="1"/>
      <c r="H32" s="1" t="str">
        <f t="shared" si="2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3">IF(OR(AE$21="",$G32=""),"",AD32)</f>
        <v/>
      </c>
      <c r="AF32" s="1" t="str">
        <f t="shared" si="13"/>
        <v/>
      </c>
    </row>
    <row r="33" spans="4:32" ht="12.75" customHeight="1" x14ac:dyDescent="0.2">
      <c r="D33" s="1"/>
      <c r="F33" s="21" t="str">
        <f t="shared" si="1"/>
        <v/>
      </c>
      <c r="G33" s="1"/>
      <c r="H33" s="1" t="str">
        <f t="shared" si="2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4">IF(OR(AE$21="",$G33=""),"",AD33)</f>
        <v/>
      </c>
      <c r="AF33" s="1" t="str">
        <f t="shared" si="14"/>
        <v/>
      </c>
    </row>
    <row r="34" spans="4:32" ht="12.75" customHeight="1" x14ac:dyDescent="0.2">
      <c r="D34" s="1"/>
      <c r="F34" s="21" t="str">
        <f t="shared" si="1"/>
        <v/>
      </c>
      <c r="G34" s="1"/>
      <c r="H34" s="1" t="str">
        <f t="shared" si="2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5">IF(OR(AE$21="",$G34=""),"",AD34)</f>
        <v/>
      </c>
      <c r="AF34" s="1" t="str">
        <f t="shared" si="15"/>
        <v/>
      </c>
    </row>
    <row r="35" spans="4:32" ht="12.75" customHeight="1" x14ac:dyDescent="0.2">
      <c r="D35" s="1"/>
      <c r="F35" s="21" t="str">
        <f t="shared" si="1"/>
        <v/>
      </c>
      <c r="G35" s="1"/>
      <c r="H35" s="1" t="str">
        <f t="shared" si="2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6">IF(OR(AE$21="",$G35=""),"",AD35)</f>
        <v/>
      </c>
      <c r="AF35" s="1" t="str">
        <f t="shared" si="16"/>
        <v/>
      </c>
    </row>
    <row r="36" spans="4:32" ht="12.75" customHeight="1" x14ac:dyDescent="0.2">
      <c r="D36" s="1"/>
      <c r="F36" s="21" t="str">
        <f t="shared" si="1"/>
        <v/>
      </c>
      <c r="G36" s="1"/>
      <c r="H36" s="1" t="str">
        <f t="shared" si="2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7">IF(OR(AE$21="",$G36=""),"",AD36)</f>
        <v/>
      </c>
      <c r="AF36" s="1" t="str">
        <f t="shared" si="17"/>
        <v/>
      </c>
    </row>
    <row r="37" spans="4:32" ht="12.75" customHeight="1" x14ac:dyDescent="0.2">
      <c r="D37" s="1"/>
      <c r="F37" s="21" t="str">
        <f t="shared" si="1"/>
        <v/>
      </c>
      <c r="G37" s="1"/>
      <c r="H37" s="1" t="str">
        <f t="shared" si="2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8">IF(OR(AE$21="",$G37=""),"",AD37)</f>
        <v/>
      </c>
      <c r="AF37" s="1" t="str">
        <f t="shared" si="18"/>
        <v/>
      </c>
    </row>
    <row r="38" spans="4:32" ht="12.75" customHeight="1" x14ac:dyDescent="0.2">
      <c r="D38" s="1"/>
      <c r="F38" s="21" t="str">
        <f t="shared" si="1"/>
        <v/>
      </c>
      <c r="G38" s="1"/>
      <c r="H38" s="1" t="str">
        <f t="shared" si="2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19">IF(OR(AE$21="",$G38=""),"",AD38)</f>
        <v/>
      </c>
      <c r="AF38" s="1" t="str">
        <f t="shared" si="19"/>
        <v/>
      </c>
    </row>
    <row r="39" spans="4:32" ht="12.75" customHeight="1" x14ac:dyDescent="0.2">
      <c r="D39" s="1"/>
      <c r="F39" s="21" t="str">
        <f t="shared" si="1"/>
        <v/>
      </c>
      <c r="G39" s="1"/>
      <c r="H39" s="1" t="str">
        <f t="shared" si="2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0">IF(OR(AE$21="",$G39=""),"",AD39)</f>
        <v/>
      </c>
      <c r="AF39" s="1" t="str">
        <f t="shared" si="20"/>
        <v/>
      </c>
    </row>
    <row r="40" spans="4:32" ht="12.75" customHeight="1" x14ac:dyDescent="0.2">
      <c r="D40" s="1"/>
      <c r="F40" s="21" t="str">
        <f t="shared" si="1"/>
        <v/>
      </c>
      <c r="G40" s="1"/>
      <c r="H40" s="1" t="str">
        <f t="shared" si="2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1">IF(OR(AE$21="",$G40=""),"",AD40)</f>
        <v/>
      </c>
      <c r="AF40" s="1" t="str">
        <f t="shared" si="21"/>
        <v/>
      </c>
    </row>
    <row r="41" spans="4:32" ht="12.75" customHeight="1" x14ac:dyDescent="0.2">
      <c r="D41" s="1"/>
      <c r="F41" s="21" t="str">
        <f t="shared" si="1"/>
        <v/>
      </c>
      <c r="G41" s="1"/>
      <c r="H41" s="1" t="str">
        <f t="shared" si="2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2">IF(OR(AE$21="",$G41=""),"",AD41)</f>
        <v/>
      </c>
      <c r="AF41" s="1" t="str">
        <f t="shared" si="22"/>
        <v/>
      </c>
    </row>
    <row r="42" spans="4:32" ht="12.75" customHeight="1" x14ac:dyDescent="0.2">
      <c r="D42" s="1"/>
      <c r="F42" s="21" t="str">
        <f t="shared" si="1"/>
        <v/>
      </c>
      <c r="G42" s="1"/>
      <c r="H42" s="1" t="str">
        <f t="shared" si="2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3">IF(OR(AE$21="",$G42=""),"",AD42)</f>
        <v/>
      </c>
      <c r="AF42" s="1" t="str">
        <f t="shared" si="23"/>
        <v/>
      </c>
    </row>
    <row r="43" spans="4:32" ht="12.75" customHeight="1" x14ac:dyDescent="0.2">
      <c r="D43" s="1"/>
      <c r="F43" s="21" t="str">
        <f t="shared" si="1"/>
        <v/>
      </c>
      <c r="G43" s="1"/>
      <c r="H43" s="1" t="str">
        <f t="shared" si="2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4">IF(OR(AE$21="",$G43=""),"",AD43)</f>
        <v/>
      </c>
      <c r="AF43" s="1" t="str">
        <f t="shared" si="24"/>
        <v/>
      </c>
    </row>
    <row r="44" spans="4:32" ht="12.75" customHeight="1" x14ac:dyDescent="0.2">
      <c r="D44" s="1"/>
      <c r="F44" s="21" t="str">
        <f t="shared" si="1"/>
        <v/>
      </c>
      <c r="G44" s="1"/>
      <c r="H44" s="1" t="str">
        <f t="shared" si="2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5">IF(OR(AE$21="",$G44=""),"",AD44)</f>
        <v/>
      </c>
      <c r="AF44" s="1" t="str">
        <f t="shared" si="25"/>
        <v/>
      </c>
    </row>
    <row r="45" spans="4:32" ht="12.75" customHeight="1" x14ac:dyDescent="0.2">
      <c r="D45" s="1"/>
      <c r="F45" s="21" t="str">
        <f t="shared" si="1"/>
        <v/>
      </c>
      <c r="G45" s="1"/>
      <c r="H45" s="1" t="str">
        <f t="shared" si="2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6">IF(OR(AE$21="",$G45=""),"",AD45)</f>
        <v/>
      </c>
      <c r="AF45" s="1" t="str">
        <f t="shared" si="26"/>
        <v/>
      </c>
    </row>
    <row r="46" spans="4:32" ht="12.75" customHeight="1" x14ac:dyDescent="0.2">
      <c r="D46" s="1"/>
      <c r="F46" s="21" t="str">
        <f t="shared" si="1"/>
        <v/>
      </c>
      <c r="G46" s="1"/>
      <c r="H46" s="1" t="str">
        <f t="shared" si="2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7">IF(OR(AE$21="",$G46=""),"",AD46)</f>
        <v/>
      </c>
      <c r="AF46" s="1" t="str">
        <f t="shared" si="27"/>
        <v/>
      </c>
    </row>
    <row r="47" spans="4:32" ht="12.75" customHeight="1" x14ac:dyDescent="0.2">
      <c r="D47" s="1"/>
      <c r="F47" s="21" t="str">
        <f t="shared" si="1"/>
        <v/>
      </c>
      <c r="G47" s="1"/>
      <c r="H47" s="1" t="str">
        <f t="shared" si="2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8">IF(OR(AE$21="",$G47=""),"",AD47)</f>
        <v/>
      </c>
      <c r="AF47" s="1" t="str">
        <f t="shared" si="28"/>
        <v/>
      </c>
    </row>
    <row r="48" spans="4:32" ht="12.75" customHeight="1" x14ac:dyDescent="0.2">
      <c r="D48" s="1"/>
      <c r="F48" s="21" t="str">
        <f t="shared" si="1"/>
        <v/>
      </c>
      <c r="G48" s="1"/>
      <c r="H48" s="1" t="str">
        <f t="shared" si="2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29">IF(OR(AE$21="",$G48=""),"",AD48)</f>
        <v/>
      </c>
      <c r="AF48" s="1" t="str">
        <f t="shared" si="29"/>
        <v/>
      </c>
    </row>
    <row r="49" spans="4:32" ht="12.75" customHeight="1" x14ac:dyDescent="0.2">
      <c r="D49" s="1"/>
      <c r="F49" s="21" t="str">
        <f t="shared" si="1"/>
        <v/>
      </c>
      <c r="G49" s="1"/>
      <c r="H49" s="1" t="str">
        <f t="shared" si="2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0">IF(OR(AE$21="",$G49=""),"",AD49)</f>
        <v/>
      </c>
      <c r="AF49" s="1" t="str">
        <f t="shared" si="30"/>
        <v/>
      </c>
    </row>
    <row r="50" spans="4:32" ht="12.75" customHeight="1" x14ac:dyDescent="0.2">
      <c r="D50" s="1"/>
      <c r="F50" s="21" t="str">
        <f t="shared" si="1"/>
        <v/>
      </c>
      <c r="G50" s="1"/>
      <c r="H50" s="1" t="str">
        <f t="shared" si="2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1">IF(OR(AE$21="",$G50=""),"",AD50)</f>
        <v/>
      </c>
      <c r="AF50" s="1" t="str">
        <f t="shared" si="31"/>
        <v/>
      </c>
    </row>
    <row r="51" spans="4:32" ht="12.75" customHeight="1" x14ac:dyDescent="0.2">
      <c r="D51" s="1"/>
      <c r="F51" s="21" t="str">
        <f t="shared" si="1"/>
        <v/>
      </c>
      <c r="G51" s="1"/>
      <c r="H51" s="1" t="str">
        <f t="shared" si="2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2">IF(OR(AE$21="",$G51=""),"",AD51)</f>
        <v/>
      </c>
      <c r="AF51" s="1" t="str">
        <f t="shared" si="32"/>
        <v/>
      </c>
    </row>
    <row r="52" spans="4:32" ht="12.75" customHeight="1" x14ac:dyDescent="0.2">
      <c r="D52" s="1"/>
      <c r="F52" s="21" t="str">
        <f t="shared" si="1"/>
        <v/>
      </c>
      <c r="G52" s="1"/>
      <c r="H52" s="1" t="str">
        <f t="shared" si="2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3">IF(OR(AE$21="",$G52=""),"",AD52)</f>
        <v/>
      </c>
      <c r="AF52" s="1" t="str">
        <f t="shared" si="33"/>
        <v/>
      </c>
    </row>
    <row r="53" spans="4:32" ht="12.75" customHeight="1" x14ac:dyDescent="0.2">
      <c r="D53" s="1"/>
      <c r="F53" s="21" t="str">
        <f t="shared" si="1"/>
        <v/>
      </c>
      <c r="G53" s="1"/>
      <c r="H53" s="1" t="str">
        <f t="shared" si="2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4">IF(OR(AE$21="",$G53=""),"",AD53)</f>
        <v/>
      </c>
      <c r="AF53" s="1" t="str">
        <f t="shared" si="34"/>
        <v/>
      </c>
    </row>
    <row r="54" spans="4:32" ht="12.75" customHeight="1" x14ac:dyDescent="0.2">
      <c r="D54" s="1"/>
      <c r="F54" s="21" t="str">
        <f t="shared" si="1"/>
        <v/>
      </c>
      <c r="G54" s="1"/>
      <c r="H54" s="1" t="str">
        <f t="shared" si="2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5">IF(OR(AE$21="",$G54=""),"",AD54)</f>
        <v/>
      </c>
      <c r="AF54" s="1" t="str">
        <f t="shared" si="35"/>
        <v/>
      </c>
    </row>
    <row r="55" spans="4:32" ht="12.75" customHeight="1" x14ac:dyDescent="0.2">
      <c r="D55" s="1"/>
      <c r="F55" s="21" t="str">
        <f t="shared" si="1"/>
        <v/>
      </c>
      <c r="G55" s="1"/>
      <c r="H55" s="1" t="str">
        <f t="shared" si="2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6">IF(OR(AE$21="",$G55=""),"",AD55)</f>
        <v/>
      </c>
      <c r="AF55" s="1" t="str">
        <f t="shared" si="36"/>
        <v/>
      </c>
    </row>
    <row r="56" spans="4:32" ht="12.75" customHeight="1" x14ac:dyDescent="0.2">
      <c r="D56" s="1"/>
      <c r="F56" s="21" t="str">
        <f t="shared" si="1"/>
        <v/>
      </c>
      <c r="G56" s="1"/>
      <c r="H56" s="1" t="str">
        <f t="shared" si="2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7">IF(OR(AE$21="",$G56=""),"",AD56)</f>
        <v/>
      </c>
      <c r="AF56" s="1" t="str">
        <f t="shared" si="37"/>
        <v/>
      </c>
    </row>
    <row r="57" spans="4:32" ht="12.75" customHeight="1" x14ac:dyDescent="0.2">
      <c r="D57" s="1"/>
      <c r="F57" s="21" t="str">
        <f t="shared" si="1"/>
        <v/>
      </c>
      <c r="G57" s="1"/>
      <c r="H57" s="1" t="str">
        <f t="shared" si="2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8">IF(OR(AE$21="",$G57=""),"",AD57)</f>
        <v/>
      </c>
      <c r="AF57" s="1" t="str">
        <f t="shared" si="38"/>
        <v/>
      </c>
    </row>
    <row r="58" spans="4:32" ht="12.75" customHeight="1" x14ac:dyDescent="0.2">
      <c r="D58" s="1"/>
      <c r="F58" s="21" t="str">
        <f t="shared" si="1"/>
        <v/>
      </c>
      <c r="G58" s="1"/>
      <c r="H58" s="1" t="str">
        <f t="shared" si="2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39">IF(OR(AE$21="",$G58=""),"",AD58)</f>
        <v/>
      </c>
      <c r="AF58" s="1" t="str">
        <f t="shared" si="39"/>
        <v/>
      </c>
    </row>
    <row r="59" spans="4:32" ht="12.75" customHeight="1" x14ac:dyDescent="0.2">
      <c r="D59" s="1"/>
      <c r="F59" s="21" t="str">
        <f t="shared" si="1"/>
        <v/>
      </c>
      <c r="G59" s="1"/>
      <c r="H59" s="1" t="str">
        <f t="shared" si="2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0">IF(OR(AE$21="",$G59=""),"",AD59)</f>
        <v/>
      </c>
      <c r="AF59" s="1" t="str">
        <f t="shared" si="40"/>
        <v/>
      </c>
    </row>
    <row r="60" spans="4:32" ht="12.75" customHeight="1" x14ac:dyDescent="0.2">
      <c r="D60" s="1"/>
      <c r="F60" s="21" t="str">
        <f t="shared" si="1"/>
        <v/>
      </c>
      <c r="G60" s="1"/>
      <c r="H60" s="1" t="str">
        <f t="shared" si="2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1">IF(OR(AE$21="",$G60=""),"",AD60)</f>
        <v/>
      </c>
      <c r="AF60" s="1" t="str">
        <f t="shared" si="41"/>
        <v/>
      </c>
    </row>
    <row r="61" spans="4:32" ht="12.75" customHeight="1" x14ac:dyDescent="0.2">
      <c r="D61" s="1"/>
      <c r="F61" s="21" t="str">
        <f t="shared" si="1"/>
        <v/>
      </c>
      <c r="G61" s="1"/>
      <c r="H61" s="1" t="str">
        <f t="shared" si="2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2">IF(OR(AE$21="",$G61=""),"",AD61)</f>
        <v/>
      </c>
      <c r="AF61" s="1" t="str">
        <f t="shared" si="42"/>
        <v/>
      </c>
    </row>
    <row r="62" spans="4:32" ht="12.75" customHeight="1" x14ac:dyDescent="0.2">
      <c r="D62" s="1"/>
      <c r="F62" s="21" t="str">
        <f t="shared" si="1"/>
        <v/>
      </c>
      <c r="G62" s="1"/>
      <c r="H62" s="1" t="str">
        <f t="shared" si="2"/>
        <v/>
      </c>
      <c r="I62" s="1" t="str">
        <f t="shared" ref="I62:AF62" si="43">IF(OR(I$21="",$G62=""),"",H62)</f>
        <v/>
      </c>
      <c r="J62" s="1" t="str">
        <f t="shared" si="43"/>
        <v/>
      </c>
      <c r="K62" s="1" t="str">
        <f t="shared" si="43"/>
        <v/>
      </c>
      <c r="L62" s="1" t="str">
        <f t="shared" si="43"/>
        <v/>
      </c>
      <c r="M62" s="1" t="str">
        <f t="shared" si="43"/>
        <v/>
      </c>
      <c r="N62" s="1" t="str">
        <f t="shared" si="43"/>
        <v/>
      </c>
      <c r="O62" s="1" t="str">
        <f t="shared" si="43"/>
        <v/>
      </c>
      <c r="P62" s="1" t="str">
        <f t="shared" si="43"/>
        <v/>
      </c>
      <c r="Q62" s="1" t="str">
        <f t="shared" si="43"/>
        <v/>
      </c>
      <c r="R62" s="1" t="str">
        <f t="shared" si="43"/>
        <v/>
      </c>
      <c r="S62" s="1" t="str">
        <f t="shared" si="43"/>
        <v/>
      </c>
      <c r="T62" s="1" t="str">
        <f t="shared" si="43"/>
        <v/>
      </c>
      <c r="U62" s="1" t="str">
        <f t="shared" si="43"/>
        <v/>
      </c>
      <c r="V62" s="1" t="str">
        <f t="shared" si="43"/>
        <v/>
      </c>
      <c r="W62" s="1" t="str">
        <f t="shared" si="43"/>
        <v/>
      </c>
      <c r="X62" s="1" t="str">
        <f t="shared" si="43"/>
        <v/>
      </c>
      <c r="Y62" s="1" t="str">
        <f t="shared" si="43"/>
        <v/>
      </c>
      <c r="Z62" s="1" t="str">
        <f t="shared" si="43"/>
        <v/>
      </c>
      <c r="AA62" s="1" t="str">
        <f t="shared" si="43"/>
        <v/>
      </c>
      <c r="AB62" s="1" t="str">
        <f t="shared" si="43"/>
        <v/>
      </c>
      <c r="AC62" s="1" t="str">
        <f t="shared" si="43"/>
        <v/>
      </c>
      <c r="AD62" s="1" t="str">
        <f t="shared" si="43"/>
        <v/>
      </c>
      <c r="AE62" s="1" t="str">
        <f t="shared" si="43"/>
        <v/>
      </c>
      <c r="AF62" s="1" t="str">
        <f t="shared" si="43"/>
        <v/>
      </c>
    </row>
    <row r="63" spans="4:32" ht="12.75" customHeight="1" x14ac:dyDescent="0.2">
      <c r="D63" s="1"/>
      <c r="F63" s="21" t="str">
        <f t="shared" si="1"/>
        <v/>
      </c>
      <c r="G63" s="1"/>
      <c r="H63" s="1" t="str">
        <f t="shared" si="2"/>
        <v/>
      </c>
      <c r="I63" s="1" t="str">
        <f t="shared" ref="I63:AF63" si="44">IF(OR(I$21="",$G63=""),"",H63)</f>
        <v/>
      </c>
      <c r="J63" s="1" t="str">
        <f t="shared" si="44"/>
        <v/>
      </c>
      <c r="K63" s="1" t="str">
        <f t="shared" si="44"/>
        <v/>
      </c>
      <c r="L63" s="1" t="str">
        <f t="shared" si="44"/>
        <v/>
      </c>
      <c r="M63" s="1" t="str">
        <f t="shared" si="44"/>
        <v/>
      </c>
      <c r="N63" s="1" t="str">
        <f t="shared" si="44"/>
        <v/>
      </c>
      <c r="O63" s="1" t="str">
        <f t="shared" si="44"/>
        <v/>
      </c>
      <c r="P63" s="1" t="str">
        <f t="shared" si="44"/>
        <v/>
      </c>
      <c r="Q63" s="1" t="str">
        <f t="shared" si="44"/>
        <v/>
      </c>
      <c r="R63" s="1" t="str">
        <f t="shared" si="44"/>
        <v/>
      </c>
      <c r="S63" s="1" t="str">
        <f t="shared" si="44"/>
        <v/>
      </c>
      <c r="T63" s="1" t="str">
        <f t="shared" si="44"/>
        <v/>
      </c>
      <c r="U63" s="1" t="str">
        <f t="shared" si="44"/>
        <v/>
      </c>
      <c r="V63" s="1" t="str">
        <f t="shared" si="44"/>
        <v/>
      </c>
      <c r="W63" s="1" t="str">
        <f t="shared" si="44"/>
        <v/>
      </c>
      <c r="X63" s="1" t="str">
        <f t="shared" si="44"/>
        <v/>
      </c>
      <c r="Y63" s="1" t="str">
        <f t="shared" si="44"/>
        <v/>
      </c>
      <c r="Z63" s="1" t="str">
        <f t="shared" si="44"/>
        <v/>
      </c>
      <c r="AA63" s="1" t="str">
        <f t="shared" si="44"/>
        <v/>
      </c>
      <c r="AB63" s="1" t="str">
        <f t="shared" si="44"/>
        <v/>
      </c>
      <c r="AC63" s="1" t="str">
        <f t="shared" si="44"/>
        <v/>
      </c>
      <c r="AD63" s="1" t="str">
        <f t="shared" si="44"/>
        <v/>
      </c>
      <c r="AE63" s="1" t="str">
        <f t="shared" si="44"/>
        <v/>
      </c>
      <c r="AF63" s="1" t="str">
        <f t="shared" si="44"/>
        <v/>
      </c>
    </row>
    <row r="64" spans="4:32" ht="12.75" customHeight="1" x14ac:dyDescent="0.2">
      <c r="D64" s="1"/>
      <c r="F64" s="21" t="s">
        <v>41</v>
      </c>
      <c r="G64" s="1"/>
      <c r="H64" s="1" t="str">
        <f t="shared" si="2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5">IF(OR(AE$21="",$G64=""),"",AD64)</f>
        <v/>
      </c>
      <c r="AF64" s="1" t="str">
        <f t="shared" si="45"/>
        <v/>
      </c>
    </row>
    <row r="65" spans="1:33" ht="12.75" customHeight="1" x14ac:dyDescent="0.2">
      <c r="D65" s="1"/>
      <c r="F65" s="21" t="s">
        <v>42</v>
      </c>
      <c r="G65" s="1"/>
      <c r="H65" s="1" t="str">
        <f t="shared" si="2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6">IF(OR(AE$21="",$G65=""),"",AD65)</f>
        <v/>
      </c>
      <c r="AF65" s="1" t="str">
        <f t="shared" si="46"/>
        <v/>
      </c>
    </row>
    <row r="66" spans="1:33" ht="12.75" customHeight="1" x14ac:dyDescent="0.2">
      <c r="D66" s="1"/>
      <c r="F66" s="21" t="s">
        <v>43</v>
      </c>
      <c r="G66" s="1"/>
      <c r="H66" s="1" t="str">
        <f t="shared" si="2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3" ht="12.75" customHeight="1" x14ac:dyDescent="0.2">
      <c r="D67" s="1"/>
      <c r="F67" s="2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3" ht="12.75" customHeight="1" x14ac:dyDescent="0.2">
      <c r="D68" s="1"/>
      <c r="F68" s="2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3" ht="12.75" customHeight="1" x14ac:dyDescent="0.2">
      <c r="D69" s="1"/>
      <c r="F69" s="2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3" ht="12.75" customHeight="1" x14ac:dyDescent="0.2">
      <c r="D70" s="1"/>
      <c r="F70" s="2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3" ht="12.75" customHeight="1" x14ac:dyDescent="0.2">
      <c r="A71" s="1"/>
      <c r="D71" s="1"/>
      <c r="F71" s="21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 x14ac:dyDescent="0.2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3" ht="12.75" customHeight="1" x14ac:dyDescent="0.2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3" ht="12.75" customHeight="1" x14ac:dyDescent="0.2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3" ht="12.75" customHeight="1" x14ac:dyDescent="0.2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3" ht="12.75" customHeight="1" x14ac:dyDescent="0.2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3" ht="12.75" customHeight="1" x14ac:dyDescent="0.2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3" ht="12.75" customHeight="1" x14ac:dyDescent="0.2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3" ht="12.75" customHeight="1" x14ac:dyDescent="0.2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3" ht="12.75" customHeight="1" x14ac:dyDescent="0.2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4:32" ht="12.75" customHeight="1" x14ac:dyDescent="0.2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4:32" ht="12.75" customHeight="1" x14ac:dyDescent="0.2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4:32" ht="12.75" customHeight="1" x14ac:dyDescent="0.2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4:32" ht="12.75" customHeight="1" x14ac:dyDescent="0.2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4:32" ht="12.75" customHeight="1" x14ac:dyDescent="0.2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4:32" ht="12.75" customHeight="1" x14ac:dyDescent="0.2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4:32" ht="12.75" customHeight="1" x14ac:dyDescent="0.2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4:32" ht="12.75" customHeight="1" x14ac:dyDescent="0.2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4:32" ht="12.75" customHeight="1" x14ac:dyDescent="0.2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4:32" ht="12.75" customHeight="1" x14ac:dyDescent="0.2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4:32" ht="12.75" customHeight="1" x14ac:dyDescent="0.2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4:32" ht="12.75" customHeight="1" x14ac:dyDescent="0.2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4:32" ht="12.75" customHeight="1" x14ac:dyDescent="0.2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4:32" ht="12.75" customHeight="1" x14ac:dyDescent="0.2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4:32" ht="12.75" customHeight="1" x14ac:dyDescent="0.2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4:32" ht="12.75" customHeight="1" x14ac:dyDescent="0.2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4:32" ht="12.75" customHeight="1" x14ac:dyDescent="0.2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4:32" ht="12.75" customHeight="1" x14ac:dyDescent="0.2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4:32" ht="12.75" customHeight="1" x14ac:dyDescent="0.2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4:32" ht="12.75" customHeight="1" x14ac:dyDescent="0.2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4:32" ht="12.75" customHeight="1" x14ac:dyDescent="0.2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4:32" ht="12.75" customHeight="1" x14ac:dyDescent="0.2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4:32" ht="12.75" customHeight="1" x14ac:dyDescent="0.2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4:32" ht="12.75" customHeight="1" x14ac:dyDescent="0.2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4:32" ht="12.75" customHeight="1" x14ac:dyDescent="0.2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4:32" ht="12.75" customHeight="1" x14ac:dyDescent="0.2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4:32" ht="12.75" customHeight="1" x14ac:dyDescent="0.2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4:32" ht="12.75" customHeight="1" x14ac:dyDescent="0.2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4:32" ht="12.75" customHeight="1" x14ac:dyDescent="0.2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4:32" ht="12.75" customHeight="1" x14ac:dyDescent="0.2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4:32" ht="12.75" customHeight="1" x14ac:dyDescent="0.2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4:32" ht="12.75" customHeight="1" x14ac:dyDescent="0.2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4:32" ht="12.75" customHeight="1" x14ac:dyDescent="0.2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4:32" ht="12.75" customHeight="1" x14ac:dyDescent="0.2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4:32" ht="12.75" customHeight="1" x14ac:dyDescent="0.2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4:32" ht="12.75" customHeight="1" x14ac:dyDescent="0.2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4:32" ht="12.75" customHeight="1" x14ac:dyDescent="0.2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4:32" ht="12.75" customHeight="1" x14ac:dyDescent="0.2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4:32" ht="12.75" customHeight="1" x14ac:dyDescent="0.2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4:32" ht="12.75" customHeight="1" x14ac:dyDescent="0.2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4:32" ht="12.75" customHeight="1" x14ac:dyDescent="0.2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4:32" ht="12.75" customHeight="1" x14ac:dyDescent="0.2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4:32" ht="12.75" customHeight="1" x14ac:dyDescent="0.2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4:32" ht="12.75" customHeight="1" x14ac:dyDescent="0.2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4:32" ht="12.75" customHeight="1" x14ac:dyDescent="0.2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4:32" ht="12.75" customHeight="1" x14ac:dyDescent="0.2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4:32" ht="12.75" customHeight="1" x14ac:dyDescent="0.2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4:32" ht="12.75" customHeight="1" x14ac:dyDescent="0.2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4:32" ht="12.75" customHeight="1" x14ac:dyDescent="0.2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4:32" ht="12.75" customHeight="1" x14ac:dyDescent="0.2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4:32" ht="12.75" customHeight="1" x14ac:dyDescent="0.2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4:32" ht="12.75" customHeight="1" x14ac:dyDescent="0.2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4:32" ht="12.75" customHeight="1" x14ac:dyDescent="0.2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4:32" ht="12.75" customHeight="1" x14ac:dyDescent="0.2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4:32" ht="12.75" customHeight="1" x14ac:dyDescent="0.2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4:32" ht="12.75" customHeight="1" x14ac:dyDescent="0.2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4:32" ht="12.75" customHeight="1" x14ac:dyDescent="0.2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4:32" ht="12.75" customHeight="1" x14ac:dyDescent="0.2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4:32" ht="12.75" customHeight="1" x14ac:dyDescent="0.2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4:32" ht="12.75" customHeight="1" x14ac:dyDescent="0.2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4:32" ht="12.75" customHeight="1" x14ac:dyDescent="0.2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4:32" ht="12.75" customHeight="1" x14ac:dyDescent="0.2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4:32" ht="12.75" customHeight="1" x14ac:dyDescent="0.2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4:32" ht="12.75" customHeight="1" x14ac:dyDescent="0.2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4:32" ht="12.75" customHeight="1" x14ac:dyDescent="0.2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4:32" ht="12.75" customHeight="1" x14ac:dyDescent="0.2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4:32" ht="12.75" customHeight="1" x14ac:dyDescent="0.2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4:32" ht="12.75" customHeight="1" x14ac:dyDescent="0.2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4:32" ht="12.75" customHeight="1" x14ac:dyDescent="0.2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4:32" ht="12.75" customHeight="1" x14ac:dyDescent="0.2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4:32" ht="12.75" customHeight="1" x14ac:dyDescent="0.2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4:32" ht="12.75" customHeight="1" x14ac:dyDescent="0.2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4:32" ht="12.75" customHeight="1" x14ac:dyDescent="0.2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4:32" ht="12.75" customHeight="1" x14ac:dyDescent="0.2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4:32" ht="12.75" customHeight="1" x14ac:dyDescent="0.2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4:32" ht="12.75" customHeight="1" x14ac:dyDescent="0.2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4:32" ht="12.75" customHeight="1" x14ac:dyDescent="0.2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4:32" ht="12.75" customHeight="1" x14ac:dyDescent="0.2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4:32" ht="12.75" customHeight="1" x14ac:dyDescent="0.2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4:32" ht="12.75" customHeight="1" x14ac:dyDescent="0.2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4:32" ht="12.75" customHeight="1" x14ac:dyDescent="0.2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4:32" ht="12.75" customHeight="1" x14ac:dyDescent="0.2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4:32" ht="12.75" customHeight="1" x14ac:dyDescent="0.2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4:32" ht="12.75" customHeight="1" x14ac:dyDescent="0.2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4:32" ht="12.75" customHeight="1" x14ac:dyDescent="0.2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4:32" ht="12.75" customHeight="1" x14ac:dyDescent="0.2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4:32" ht="12.75" customHeight="1" x14ac:dyDescent="0.2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4:32" ht="12.75" customHeight="1" x14ac:dyDescent="0.2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4:32" ht="12.75" customHeight="1" x14ac:dyDescent="0.2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4:32" ht="12.75" customHeight="1" x14ac:dyDescent="0.2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4:32" ht="12.75" customHeight="1" x14ac:dyDescent="0.2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4:32" ht="12.75" customHeight="1" x14ac:dyDescent="0.2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4:32" ht="12.75" customHeight="1" x14ac:dyDescent="0.2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4:32" ht="12.75" customHeight="1" x14ac:dyDescent="0.2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4:32" ht="12.75" customHeight="1" x14ac:dyDescent="0.2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4:32" ht="12.75" customHeight="1" x14ac:dyDescent="0.2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4:32" ht="12.75" customHeight="1" x14ac:dyDescent="0.2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4:32" ht="12.75" customHeight="1" x14ac:dyDescent="0.2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4:32" ht="12.75" customHeight="1" x14ac:dyDescent="0.2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4:32" ht="12.75" customHeight="1" x14ac:dyDescent="0.2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4:32" ht="12.75" customHeight="1" x14ac:dyDescent="0.2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4:32" ht="12.75" customHeight="1" x14ac:dyDescent="0.2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4:32" ht="12.75" customHeight="1" x14ac:dyDescent="0.2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4:32" ht="12.75" customHeight="1" x14ac:dyDescent="0.2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4:32" ht="12.75" customHeight="1" x14ac:dyDescent="0.2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4:32" ht="12.75" customHeight="1" x14ac:dyDescent="0.2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4:32" ht="12.75" customHeight="1" x14ac:dyDescent="0.2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4:32" ht="12.75" customHeight="1" x14ac:dyDescent="0.2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4:32" ht="12.75" customHeight="1" x14ac:dyDescent="0.2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4:32" ht="12.75" customHeight="1" x14ac:dyDescent="0.2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4:32" ht="12.75" customHeight="1" x14ac:dyDescent="0.2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4:32" ht="12.75" customHeight="1" x14ac:dyDescent="0.2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4:32" ht="12.75" customHeight="1" x14ac:dyDescent="0.2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4:32" ht="12.75" customHeight="1" x14ac:dyDescent="0.2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4:32" ht="12.75" customHeight="1" x14ac:dyDescent="0.2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4:32" ht="12.75" customHeight="1" x14ac:dyDescent="0.2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4:32" ht="12.75" customHeight="1" x14ac:dyDescent="0.2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4:32" ht="12.75" customHeight="1" x14ac:dyDescent="0.2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4:32" ht="12.75" customHeight="1" x14ac:dyDescent="0.2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4:32" ht="12.75" customHeight="1" x14ac:dyDescent="0.2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4:32" ht="12.75" customHeight="1" x14ac:dyDescent="0.2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4:32" ht="12.75" customHeight="1" x14ac:dyDescent="0.2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4:32" ht="12.75" customHeight="1" x14ac:dyDescent="0.2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4:32" ht="12.75" customHeight="1" x14ac:dyDescent="0.2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4:32" ht="12.75" customHeight="1" x14ac:dyDescent="0.2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4:32" ht="12.75" customHeight="1" x14ac:dyDescent="0.2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4:32" ht="12.75" customHeight="1" x14ac:dyDescent="0.2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4:32" ht="12.75" customHeight="1" x14ac:dyDescent="0.2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4:32" ht="12.75" customHeight="1" x14ac:dyDescent="0.2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4:32" ht="12.75" customHeight="1" x14ac:dyDescent="0.2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4:32" ht="12.75" customHeight="1" x14ac:dyDescent="0.2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4:32" ht="12.75" customHeight="1" x14ac:dyDescent="0.2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4:32" ht="12.75" customHeight="1" x14ac:dyDescent="0.2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4:32" ht="12.75" customHeight="1" x14ac:dyDescent="0.2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4:32" ht="12.75" customHeight="1" x14ac:dyDescent="0.2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4:32" ht="12.75" customHeight="1" x14ac:dyDescent="0.2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4:32" ht="12.75" customHeight="1" x14ac:dyDescent="0.2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4:32" ht="12.75" customHeight="1" x14ac:dyDescent="0.2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4:32" ht="12.75" customHeight="1" x14ac:dyDescent="0.2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4:32" ht="12.75" customHeight="1" x14ac:dyDescent="0.2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4:32" ht="12.75" customHeight="1" x14ac:dyDescent="0.2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4:32" ht="12.75" customHeight="1" x14ac:dyDescent="0.2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4:32" ht="12.75" customHeight="1" x14ac:dyDescent="0.2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4:32" ht="12.75" customHeight="1" x14ac:dyDescent="0.2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4:32" ht="12.75" customHeight="1" x14ac:dyDescent="0.2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4:32" ht="12.75" customHeight="1" x14ac:dyDescent="0.2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4:32" ht="12.75" customHeight="1" x14ac:dyDescent="0.2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4:32" ht="12.75" customHeight="1" x14ac:dyDescent="0.2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4:32" ht="12.75" customHeight="1" x14ac:dyDescent="0.2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4:32" ht="12.75" customHeight="1" x14ac:dyDescent="0.2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4:32" ht="12.75" customHeight="1" x14ac:dyDescent="0.2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4:32" ht="12.75" customHeight="1" x14ac:dyDescent="0.2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4:32" ht="12.75" customHeight="1" x14ac:dyDescent="0.2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4:32" ht="12.75" customHeight="1" x14ac:dyDescent="0.2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4:32" ht="12.75" customHeight="1" x14ac:dyDescent="0.2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4:32" ht="12.75" customHeight="1" x14ac:dyDescent="0.2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4:32" ht="12.75" customHeight="1" x14ac:dyDescent="0.2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4:32" ht="12.75" customHeight="1" x14ac:dyDescent="0.2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4:32" ht="12.75" customHeight="1" x14ac:dyDescent="0.2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4:32" ht="12.75" customHeight="1" x14ac:dyDescent="0.2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4:32" ht="12.75" customHeight="1" x14ac:dyDescent="0.2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4:32" ht="12.75" customHeight="1" x14ac:dyDescent="0.2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4:32" ht="12.75" customHeight="1" x14ac:dyDescent="0.2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4:32" ht="12.75" customHeight="1" x14ac:dyDescent="0.2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4:32" ht="12.75" customHeight="1" x14ac:dyDescent="0.2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4:32" ht="12.75" customHeight="1" x14ac:dyDescent="0.2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4:32" ht="12.75" customHeight="1" x14ac:dyDescent="0.2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4:32" ht="12.75" customHeight="1" x14ac:dyDescent="0.2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4:32" ht="12.75" customHeight="1" x14ac:dyDescent="0.2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4:32" ht="12.75" customHeight="1" x14ac:dyDescent="0.2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4:32" ht="12.75" customHeight="1" x14ac:dyDescent="0.2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4:32" ht="12.75" customHeight="1" x14ac:dyDescent="0.2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4:32" ht="12.75" customHeight="1" x14ac:dyDescent="0.2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4:32" ht="12.75" customHeight="1" x14ac:dyDescent="0.2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4:32" ht="12.75" customHeight="1" x14ac:dyDescent="0.2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4:32" ht="12.75" customHeight="1" x14ac:dyDescent="0.2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4:32" ht="12.75" customHeight="1" x14ac:dyDescent="0.2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4:32" ht="12.75" customHeight="1" x14ac:dyDescent="0.2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4:32" ht="12.75" customHeight="1" x14ac:dyDescent="0.2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4:32" ht="12.75" customHeight="1" x14ac:dyDescent="0.2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4:32" ht="12.75" customHeight="1" x14ac:dyDescent="0.2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4:32" ht="12.75" customHeight="1" x14ac:dyDescent="0.2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4:32" ht="12.75" customHeight="1" x14ac:dyDescent="0.2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4:32" ht="12.75" customHeight="1" x14ac:dyDescent="0.2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4:32" ht="12.75" customHeight="1" x14ac:dyDescent="0.2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4:32" ht="12.75" customHeight="1" x14ac:dyDescent="0.2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4:32" ht="12.75" customHeight="1" x14ac:dyDescent="0.2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4:32" ht="12.75" customHeight="1" x14ac:dyDescent="0.2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4:32" ht="12.75" customHeight="1" x14ac:dyDescent="0.2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4:32" ht="12.75" customHeight="1" x14ac:dyDescent="0.2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4:32" ht="12.75" customHeight="1" x14ac:dyDescent="0.2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4:32" ht="12.75" customHeight="1" x14ac:dyDescent="0.2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4:32" ht="12.75" customHeight="1" x14ac:dyDescent="0.2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4:32" ht="12.75" customHeight="1" x14ac:dyDescent="0.2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4:32" ht="12.75" customHeight="1" x14ac:dyDescent="0.2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4:32" ht="12.75" customHeight="1" x14ac:dyDescent="0.2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4:32" ht="12.75" customHeight="1" x14ac:dyDescent="0.2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4:32" ht="12.75" customHeight="1" x14ac:dyDescent="0.2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4:32" ht="12.75" customHeight="1" x14ac:dyDescent="0.2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4:32" ht="12.75" customHeight="1" x14ac:dyDescent="0.2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4:32" ht="12.75" customHeight="1" x14ac:dyDescent="0.2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4:32" ht="12.75" customHeight="1" x14ac:dyDescent="0.2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4:32" ht="12.75" customHeight="1" x14ac:dyDescent="0.2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4:32" ht="12.75" customHeight="1" x14ac:dyDescent="0.2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4:32" ht="12.75" customHeight="1" x14ac:dyDescent="0.2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4:32" ht="12.75" customHeight="1" x14ac:dyDescent="0.2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4:32" ht="12.75" customHeight="1" x14ac:dyDescent="0.2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4:32" ht="12.75" customHeight="1" x14ac:dyDescent="0.2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4:32" ht="12.75" customHeight="1" x14ac:dyDescent="0.2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4:32" ht="12.75" customHeight="1" x14ac:dyDescent="0.2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4:32" ht="12.75" customHeight="1" x14ac:dyDescent="0.2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4:32" ht="12.75" customHeight="1" x14ac:dyDescent="0.2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4:32" ht="12.75" customHeight="1" x14ac:dyDescent="0.2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4:32" ht="12.75" customHeight="1" x14ac:dyDescent="0.2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4:32" ht="12.75" customHeight="1" x14ac:dyDescent="0.2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4:32" ht="12.75" customHeight="1" x14ac:dyDescent="0.2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4:32" ht="12.75" customHeight="1" x14ac:dyDescent="0.2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4:32" ht="12.75" customHeight="1" x14ac:dyDescent="0.2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4:32" ht="12.75" customHeight="1" x14ac:dyDescent="0.2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4:32" ht="12.75" customHeight="1" x14ac:dyDescent="0.2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4:32" ht="12.75" customHeight="1" x14ac:dyDescent="0.2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4:32" ht="12.75" customHeight="1" x14ac:dyDescent="0.2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4:32" ht="12.75" customHeight="1" x14ac:dyDescent="0.2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4:32" ht="12.75" customHeight="1" x14ac:dyDescent="0.2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4:32" ht="12.75" customHeight="1" x14ac:dyDescent="0.2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4:32" ht="12.75" customHeight="1" x14ac:dyDescent="0.2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4:32" ht="12.75" customHeight="1" x14ac:dyDescent="0.2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4:32" ht="12.75" customHeight="1" x14ac:dyDescent="0.2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4:32" ht="12.75" customHeight="1" x14ac:dyDescent="0.2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4:32" ht="12.75" customHeight="1" x14ac:dyDescent="0.2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4:32" ht="12.75" customHeight="1" x14ac:dyDescent="0.2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4:32" ht="12.75" customHeight="1" x14ac:dyDescent="0.2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4:32" ht="12.75" customHeight="1" x14ac:dyDescent="0.2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4:32" ht="12.75" customHeight="1" x14ac:dyDescent="0.2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4:32" ht="12.75" customHeight="1" x14ac:dyDescent="0.2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4:32" ht="12.75" customHeight="1" x14ac:dyDescent="0.2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4:32" ht="12.75" customHeight="1" x14ac:dyDescent="0.2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4:32" ht="12.75" customHeight="1" x14ac:dyDescent="0.2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4:32" ht="12.75" customHeight="1" x14ac:dyDescent="0.2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4:32" ht="12.75" customHeight="1" x14ac:dyDescent="0.2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4:32" ht="12.75" customHeight="1" x14ac:dyDescent="0.2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4:32" ht="12.75" customHeight="1" x14ac:dyDescent="0.2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4:32" ht="12.75" customHeight="1" x14ac:dyDescent="0.2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4:32" ht="12.75" customHeight="1" x14ac:dyDescent="0.2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4:32" ht="12.75" customHeight="1" x14ac:dyDescent="0.2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4:32" ht="12.75" customHeight="1" x14ac:dyDescent="0.2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4:32" ht="12.75" customHeight="1" x14ac:dyDescent="0.2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4:32" ht="12.75" customHeight="1" x14ac:dyDescent="0.2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4:32" ht="12.75" customHeight="1" x14ac:dyDescent="0.2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4:32" ht="12.75" customHeight="1" x14ac:dyDescent="0.2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4:32" ht="12.75" customHeight="1" x14ac:dyDescent="0.2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4:32" ht="12.75" customHeight="1" x14ac:dyDescent="0.2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4:32" ht="12.75" customHeight="1" x14ac:dyDescent="0.2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4:32" ht="12.75" customHeight="1" x14ac:dyDescent="0.2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4:32" ht="12.75" customHeight="1" x14ac:dyDescent="0.2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4:32" ht="12.75" customHeight="1" x14ac:dyDescent="0.2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4:32" ht="12.75" customHeight="1" x14ac:dyDescent="0.2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4:32" ht="12.75" customHeight="1" x14ac:dyDescent="0.2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4:32" ht="12.75" customHeight="1" x14ac:dyDescent="0.2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4:32" ht="12.75" customHeight="1" x14ac:dyDescent="0.2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4:32" ht="12.75" customHeight="1" x14ac:dyDescent="0.2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4:32" ht="12.75" customHeight="1" x14ac:dyDescent="0.2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4:32" ht="12.75" customHeight="1" x14ac:dyDescent="0.2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4:32" ht="12.75" customHeight="1" x14ac:dyDescent="0.2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4:32" ht="12.75" customHeight="1" x14ac:dyDescent="0.2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4:32" ht="12.75" customHeight="1" x14ac:dyDescent="0.2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4:32" ht="12.75" customHeight="1" x14ac:dyDescent="0.2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4:32" ht="12.75" customHeight="1" x14ac:dyDescent="0.2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4:32" ht="12.75" customHeight="1" x14ac:dyDescent="0.2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4:32" ht="12.75" customHeight="1" x14ac:dyDescent="0.2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4:32" ht="12.75" customHeight="1" x14ac:dyDescent="0.2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4:32" ht="12.75" customHeight="1" x14ac:dyDescent="0.2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4:32" ht="12.75" customHeight="1" x14ac:dyDescent="0.2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4:32" ht="12.75" customHeight="1" x14ac:dyDescent="0.2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4:32" ht="12.75" customHeight="1" x14ac:dyDescent="0.2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4:32" ht="12.75" customHeight="1" x14ac:dyDescent="0.2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4:32" ht="12.75" customHeight="1" x14ac:dyDescent="0.2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4:32" ht="12.75" customHeight="1" x14ac:dyDescent="0.2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4:32" ht="12.75" customHeight="1" x14ac:dyDescent="0.2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4:32" ht="12.75" customHeight="1" x14ac:dyDescent="0.2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4:32" ht="12.75" customHeight="1" x14ac:dyDescent="0.2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4:32" ht="12.75" customHeight="1" x14ac:dyDescent="0.2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4:32" ht="12.75" customHeight="1" x14ac:dyDescent="0.2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4:32" ht="12.75" customHeight="1" x14ac:dyDescent="0.2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4:32" ht="12.75" customHeight="1" x14ac:dyDescent="0.2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4:32" ht="12.75" customHeight="1" x14ac:dyDescent="0.2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4:32" ht="12.75" customHeight="1" x14ac:dyDescent="0.2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4:32" ht="12.75" customHeight="1" x14ac:dyDescent="0.2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4:32" ht="12.75" customHeight="1" x14ac:dyDescent="0.2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4:32" ht="12.75" customHeight="1" x14ac:dyDescent="0.2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4:32" ht="12.75" customHeight="1" x14ac:dyDescent="0.2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4:32" ht="12.75" customHeight="1" x14ac:dyDescent="0.2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4:32" ht="12.75" customHeight="1" x14ac:dyDescent="0.2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4:32" ht="12.75" customHeight="1" x14ac:dyDescent="0.2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4:32" ht="12.75" customHeight="1" x14ac:dyDescent="0.2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4:32" ht="12.75" customHeight="1" x14ac:dyDescent="0.2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4:32" ht="12.75" customHeight="1" x14ac:dyDescent="0.2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4:32" ht="12.75" customHeight="1" x14ac:dyDescent="0.2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4:32" ht="12.75" customHeight="1" x14ac:dyDescent="0.2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4:32" ht="12.75" customHeight="1" x14ac:dyDescent="0.2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4:32" ht="12.75" customHeight="1" x14ac:dyDescent="0.2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4:32" ht="12.75" customHeight="1" x14ac:dyDescent="0.2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4:32" ht="12.75" customHeight="1" x14ac:dyDescent="0.2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4:32" ht="12.75" customHeight="1" x14ac:dyDescent="0.2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4:32" ht="12.75" customHeight="1" x14ac:dyDescent="0.2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4:32" ht="12.75" customHeight="1" x14ac:dyDescent="0.2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4:32" ht="12.75" customHeight="1" x14ac:dyDescent="0.2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4:32" ht="12.75" customHeight="1" x14ac:dyDescent="0.2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4:32" ht="12.75" customHeight="1" x14ac:dyDescent="0.2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4:32" ht="12.75" customHeight="1" x14ac:dyDescent="0.2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4:32" ht="12.75" customHeight="1" x14ac:dyDescent="0.2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4:32" ht="12.75" customHeight="1" x14ac:dyDescent="0.2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4:32" ht="12.75" customHeight="1" x14ac:dyDescent="0.2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4:32" ht="12.75" customHeight="1" x14ac:dyDescent="0.2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4:32" ht="12.75" customHeight="1" x14ac:dyDescent="0.2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4:32" ht="12.75" customHeight="1" x14ac:dyDescent="0.2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4:32" ht="12.75" customHeight="1" x14ac:dyDescent="0.2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4:32" ht="12.75" customHeight="1" x14ac:dyDescent="0.2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4:32" ht="12.75" customHeight="1" x14ac:dyDescent="0.2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4:32" ht="12.75" customHeight="1" x14ac:dyDescent="0.2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4:32" ht="12.75" customHeight="1" x14ac:dyDescent="0.2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4:32" ht="12.75" customHeight="1" x14ac:dyDescent="0.2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4:32" ht="12.75" customHeight="1" x14ac:dyDescent="0.2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4:32" ht="12.75" customHeight="1" x14ac:dyDescent="0.2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4:32" ht="12.75" customHeight="1" x14ac:dyDescent="0.2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4:32" ht="12.75" customHeight="1" x14ac:dyDescent="0.2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4:32" ht="12.75" customHeight="1" x14ac:dyDescent="0.2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4:32" ht="12.75" customHeight="1" x14ac:dyDescent="0.2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4:32" ht="12.75" customHeight="1" x14ac:dyDescent="0.2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4:32" ht="12.75" customHeight="1" x14ac:dyDescent="0.2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4:32" ht="12.75" customHeight="1" x14ac:dyDescent="0.2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4:32" ht="12.75" customHeight="1" x14ac:dyDescent="0.2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4:32" ht="12.75" customHeight="1" x14ac:dyDescent="0.2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4:32" ht="12.75" customHeight="1" x14ac:dyDescent="0.2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4:32" ht="12.75" customHeight="1" x14ac:dyDescent="0.2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4:32" ht="12.75" customHeight="1" x14ac:dyDescent="0.2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4:32" ht="12.75" customHeight="1" x14ac:dyDescent="0.2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4:32" ht="12.75" customHeight="1" x14ac:dyDescent="0.2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4:32" ht="12.75" customHeight="1" x14ac:dyDescent="0.2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4:32" ht="12.75" customHeight="1" x14ac:dyDescent="0.2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4:32" ht="12.75" customHeight="1" x14ac:dyDescent="0.2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4:32" ht="12.75" customHeight="1" x14ac:dyDescent="0.2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4:32" ht="12.75" customHeight="1" x14ac:dyDescent="0.2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4:32" ht="12.75" customHeight="1" x14ac:dyDescent="0.2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4:32" ht="12.75" customHeight="1" x14ac:dyDescent="0.2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4:32" ht="12.75" customHeight="1" x14ac:dyDescent="0.2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4:32" ht="12.75" customHeight="1" x14ac:dyDescent="0.2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4:32" ht="12.75" customHeight="1" x14ac:dyDescent="0.2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4:32" ht="12.75" customHeight="1" x14ac:dyDescent="0.2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4:32" ht="12.75" customHeight="1" x14ac:dyDescent="0.2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4:32" ht="12.75" customHeight="1" x14ac:dyDescent="0.2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4:32" ht="12.75" customHeight="1" x14ac:dyDescent="0.2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4:32" ht="12.75" customHeight="1" x14ac:dyDescent="0.2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4:32" ht="12.75" customHeight="1" x14ac:dyDescent="0.2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4:32" ht="12.75" customHeight="1" x14ac:dyDescent="0.2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4:32" ht="12.75" customHeight="1" x14ac:dyDescent="0.2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4:32" ht="12.75" customHeight="1" x14ac:dyDescent="0.2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4:32" ht="12.75" customHeight="1" x14ac:dyDescent="0.2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4:32" ht="12.75" customHeight="1" x14ac:dyDescent="0.2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4:32" ht="12.75" customHeight="1" x14ac:dyDescent="0.2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4:32" ht="12.75" customHeight="1" x14ac:dyDescent="0.2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4:32" ht="12.75" customHeight="1" x14ac:dyDescent="0.2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4:32" ht="12.75" customHeight="1" x14ac:dyDescent="0.2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4:32" ht="12.75" customHeight="1" x14ac:dyDescent="0.2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4:32" ht="12.75" customHeight="1" x14ac:dyDescent="0.2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4:32" ht="12.75" customHeight="1" x14ac:dyDescent="0.2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4:32" ht="12.75" customHeight="1" x14ac:dyDescent="0.2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4:32" ht="12.75" customHeight="1" x14ac:dyDescent="0.2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4:32" ht="12.75" customHeight="1" x14ac:dyDescent="0.2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4:32" ht="12.75" customHeight="1" x14ac:dyDescent="0.2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4:32" ht="12.75" customHeight="1" x14ac:dyDescent="0.2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4:32" ht="12.75" customHeight="1" x14ac:dyDescent="0.2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4:32" ht="12.75" customHeight="1" x14ac:dyDescent="0.2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4:32" ht="12.75" customHeight="1" x14ac:dyDescent="0.2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4:32" ht="12.75" customHeight="1" x14ac:dyDescent="0.2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4:32" ht="12.75" customHeight="1" x14ac:dyDescent="0.2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4:32" ht="12.75" customHeight="1" x14ac:dyDescent="0.2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4:32" ht="12.75" customHeight="1" x14ac:dyDescent="0.2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4:32" ht="12.75" customHeight="1" x14ac:dyDescent="0.2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4:32" ht="12.75" customHeight="1" x14ac:dyDescent="0.2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4:32" ht="12.75" customHeight="1" x14ac:dyDescent="0.2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4:32" ht="12.75" customHeight="1" x14ac:dyDescent="0.2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4:32" ht="12.75" customHeight="1" x14ac:dyDescent="0.2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4:32" ht="12.75" customHeight="1" x14ac:dyDescent="0.2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4:32" ht="12.75" customHeight="1" x14ac:dyDescent="0.2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4:32" ht="12.75" customHeight="1" x14ac:dyDescent="0.2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4:32" ht="12.75" customHeight="1" x14ac:dyDescent="0.2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4:32" ht="12.75" customHeight="1" x14ac:dyDescent="0.2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4:32" ht="12.75" customHeight="1" x14ac:dyDescent="0.2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4:32" ht="12.75" customHeight="1" x14ac:dyDescent="0.2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4:32" ht="12.75" customHeight="1" x14ac:dyDescent="0.2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4:32" ht="12.75" customHeight="1" x14ac:dyDescent="0.2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4:32" ht="12.75" customHeight="1" x14ac:dyDescent="0.2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4:32" ht="12.75" customHeight="1" x14ac:dyDescent="0.2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4:32" ht="12.75" customHeight="1" x14ac:dyDescent="0.2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4:32" ht="12.75" customHeight="1" x14ac:dyDescent="0.2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4:32" ht="12.75" customHeight="1" x14ac:dyDescent="0.2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4:32" ht="12.75" customHeight="1" x14ac:dyDescent="0.2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4:32" ht="12.75" customHeight="1" x14ac:dyDescent="0.2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4:32" ht="12.75" customHeight="1" x14ac:dyDescent="0.2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4:32" ht="12.75" customHeight="1" x14ac:dyDescent="0.2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4:32" ht="12.75" customHeight="1" x14ac:dyDescent="0.2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4:32" ht="12.75" customHeight="1" x14ac:dyDescent="0.2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4:32" ht="12.75" customHeight="1" x14ac:dyDescent="0.2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4:32" ht="12.75" customHeight="1" x14ac:dyDescent="0.2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4:32" ht="12.75" customHeight="1" x14ac:dyDescent="0.2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4:32" ht="12.75" customHeight="1" x14ac:dyDescent="0.2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4:32" ht="12.75" customHeight="1" x14ac:dyDescent="0.2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4:32" ht="12.75" customHeight="1" x14ac:dyDescent="0.2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4:32" ht="12.75" customHeight="1" x14ac:dyDescent="0.2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4:32" ht="12.75" customHeight="1" x14ac:dyDescent="0.2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4:32" ht="12.75" customHeight="1" x14ac:dyDescent="0.2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4:32" ht="12.75" customHeight="1" x14ac:dyDescent="0.2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4:32" ht="12.75" customHeight="1" x14ac:dyDescent="0.2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4:32" ht="12.75" customHeight="1" x14ac:dyDescent="0.2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4:32" ht="12.75" customHeight="1" x14ac:dyDescent="0.2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4:32" ht="12.75" customHeight="1" x14ac:dyDescent="0.2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4:32" ht="12.75" customHeight="1" x14ac:dyDescent="0.2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4:32" ht="12.75" customHeight="1" x14ac:dyDescent="0.2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4:32" ht="12.75" customHeight="1" x14ac:dyDescent="0.2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4:32" ht="12.75" customHeight="1" x14ac:dyDescent="0.2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4:32" ht="12.75" customHeight="1" x14ac:dyDescent="0.2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4:32" ht="12.75" customHeight="1" x14ac:dyDescent="0.2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4:32" ht="12.75" customHeight="1" x14ac:dyDescent="0.2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4:32" ht="12.75" customHeight="1" x14ac:dyDescent="0.2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4:32" ht="12.75" customHeight="1" x14ac:dyDescent="0.2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4:32" ht="12.75" customHeight="1" x14ac:dyDescent="0.2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4:32" ht="12.75" customHeight="1" x14ac:dyDescent="0.2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4:32" ht="12.75" customHeight="1" x14ac:dyDescent="0.2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4:32" ht="12.75" customHeight="1" x14ac:dyDescent="0.2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4:32" ht="12.75" customHeight="1" x14ac:dyDescent="0.2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4:32" ht="12.75" customHeight="1" x14ac:dyDescent="0.2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4:32" ht="12.75" customHeight="1" x14ac:dyDescent="0.2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4:32" ht="12.75" customHeight="1" x14ac:dyDescent="0.2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4:32" ht="12.75" customHeight="1" x14ac:dyDescent="0.2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4:32" ht="12.75" customHeight="1" x14ac:dyDescent="0.2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4:32" ht="12.75" customHeight="1" x14ac:dyDescent="0.2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4:32" ht="12.75" customHeight="1" x14ac:dyDescent="0.2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4:32" ht="12.75" customHeight="1" x14ac:dyDescent="0.2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4:32" ht="12.75" customHeight="1" x14ac:dyDescent="0.2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4:32" ht="12.75" customHeight="1" x14ac:dyDescent="0.2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4:32" ht="12.75" customHeight="1" x14ac:dyDescent="0.2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4:32" ht="12.75" customHeight="1" x14ac:dyDescent="0.2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4:32" ht="12.75" customHeight="1" x14ac:dyDescent="0.2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4:32" ht="12.75" customHeight="1" x14ac:dyDescent="0.2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4:32" ht="12.75" customHeight="1" x14ac:dyDescent="0.2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4:32" ht="12.75" customHeight="1" x14ac:dyDescent="0.2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4:32" ht="12.75" customHeight="1" x14ac:dyDescent="0.2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4:32" ht="12.75" customHeight="1" x14ac:dyDescent="0.2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4:32" ht="12.75" customHeight="1" x14ac:dyDescent="0.2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4:32" ht="12.75" customHeight="1" x14ac:dyDescent="0.2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4:32" ht="12.75" customHeight="1" x14ac:dyDescent="0.2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4:32" ht="12.75" customHeight="1" x14ac:dyDescent="0.2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4:32" ht="12.75" customHeight="1" x14ac:dyDescent="0.2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4:32" ht="12.75" customHeight="1" x14ac:dyDescent="0.2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4:32" ht="12.75" customHeight="1" x14ac:dyDescent="0.2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4:32" ht="12.75" customHeight="1" x14ac:dyDescent="0.2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4:32" ht="12.75" customHeight="1" x14ac:dyDescent="0.2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4:32" ht="12.75" customHeight="1" x14ac:dyDescent="0.2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4:32" ht="12.75" customHeight="1" x14ac:dyDescent="0.2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4:32" ht="12.75" customHeight="1" x14ac:dyDescent="0.2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4:32" ht="12.75" customHeight="1" x14ac:dyDescent="0.2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4:32" ht="12.75" customHeight="1" x14ac:dyDescent="0.2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4:32" ht="12.75" customHeight="1" x14ac:dyDescent="0.2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4:32" ht="12.75" customHeight="1" x14ac:dyDescent="0.2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4:32" ht="12.75" customHeight="1" x14ac:dyDescent="0.2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4:32" ht="12.75" customHeight="1" x14ac:dyDescent="0.2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4:32" ht="12.75" customHeight="1" x14ac:dyDescent="0.2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4:32" ht="12.75" customHeight="1" x14ac:dyDescent="0.2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4:32" ht="12.75" customHeight="1" x14ac:dyDescent="0.2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4:32" ht="12.75" customHeight="1" x14ac:dyDescent="0.2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4:32" ht="12.75" customHeight="1" x14ac:dyDescent="0.2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4:32" ht="12.75" customHeight="1" x14ac:dyDescent="0.2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4:32" ht="12.75" customHeight="1" x14ac:dyDescent="0.2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4:32" ht="12.75" customHeight="1" x14ac:dyDescent="0.2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4:32" ht="12.75" customHeight="1" x14ac:dyDescent="0.2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4:32" ht="12.75" customHeight="1" x14ac:dyDescent="0.2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4:32" ht="12.75" customHeight="1" x14ac:dyDescent="0.2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4:32" ht="12.75" customHeight="1" x14ac:dyDescent="0.2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4:32" ht="12.75" customHeight="1" x14ac:dyDescent="0.2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4:32" ht="12.75" customHeight="1" x14ac:dyDescent="0.2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4:32" ht="12.75" customHeight="1" x14ac:dyDescent="0.2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4:32" ht="12.75" customHeight="1" x14ac:dyDescent="0.2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4:32" ht="12.75" customHeight="1" x14ac:dyDescent="0.2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4:32" ht="12.75" customHeight="1" x14ac:dyDescent="0.2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4:32" ht="12.75" customHeight="1" x14ac:dyDescent="0.2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4:32" ht="12.75" customHeight="1" x14ac:dyDescent="0.2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4:32" ht="12.75" customHeight="1" x14ac:dyDescent="0.2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4:32" ht="12.75" customHeight="1" x14ac:dyDescent="0.2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4:32" ht="12.75" customHeight="1" x14ac:dyDescent="0.2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4:32" ht="12.75" customHeight="1" x14ac:dyDescent="0.2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4:32" ht="12.75" customHeight="1" x14ac:dyDescent="0.2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4:32" ht="12.75" customHeight="1" x14ac:dyDescent="0.2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4:32" ht="12.75" customHeight="1" x14ac:dyDescent="0.2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4:32" ht="12.75" customHeight="1" x14ac:dyDescent="0.2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4:32" ht="12.75" customHeight="1" x14ac:dyDescent="0.2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4:32" ht="12.75" customHeight="1" x14ac:dyDescent="0.2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4:32" ht="12.75" customHeight="1" x14ac:dyDescent="0.2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4:32" ht="12.75" customHeight="1" x14ac:dyDescent="0.2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4:32" ht="12.75" customHeight="1" x14ac:dyDescent="0.2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4:32" ht="12.75" customHeight="1" x14ac:dyDescent="0.2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4:32" ht="12.75" customHeight="1" x14ac:dyDescent="0.2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4:32" ht="12.75" customHeight="1" x14ac:dyDescent="0.2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4:32" ht="12.75" customHeight="1" x14ac:dyDescent="0.2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4:32" ht="12.75" customHeight="1" x14ac:dyDescent="0.2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4:32" ht="12.75" customHeight="1" x14ac:dyDescent="0.2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4:32" ht="12.75" customHeight="1" x14ac:dyDescent="0.2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4:32" ht="12.75" customHeight="1" x14ac:dyDescent="0.2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4:32" ht="12.75" customHeight="1" x14ac:dyDescent="0.2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4:32" ht="12.75" customHeight="1" x14ac:dyDescent="0.2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4:32" ht="12.75" customHeight="1" x14ac:dyDescent="0.2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4:32" ht="12.75" customHeight="1" x14ac:dyDescent="0.2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4:32" ht="12.75" customHeight="1" x14ac:dyDescent="0.2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4:32" ht="12.75" customHeight="1" x14ac:dyDescent="0.2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4:32" ht="12.75" customHeight="1" x14ac:dyDescent="0.2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4:32" ht="12.75" customHeight="1" x14ac:dyDescent="0.2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4:32" ht="12.75" customHeight="1" x14ac:dyDescent="0.2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4:32" ht="12.75" customHeight="1" x14ac:dyDescent="0.2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4:32" ht="12.75" customHeight="1" x14ac:dyDescent="0.2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4:32" ht="12.75" customHeight="1" x14ac:dyDescent="0.2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4:32" ht="12.75" customHeight="1" x14ac:dyDescent="0.2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4:32" ht="12.75" customHeight="1" x14ac:dyDescent="0.2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4:32" ht="12.75" customHeight="1" x14ac:dyDescent="0.2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4:32" ht="12.75" customHeight="1" x14ac:dyDescent="0.2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4:32" ht="12.75" customHeight="1" x14ac:dyDescent="0.2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4:32" ht="12.75" customHeight="1" x14ac:dyDescent="0.2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4:32" ht="12.75" customHeight="1" x14ac:dyDescent="0.2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4:32" ht="12.75" customHeight="1" x14ac:dyDescent="0.2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4:32" ht="12.75" customHeight="1" x14ac:dyDescent="0.2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4:32" ht="12.75" customHeight="1" x14ac:dyDescent="0.2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4:32" ht="12.75" customHeight="1" x14ac:dyDescent="0.2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4:32" ht="12.75" customHeight="1" x14ac:dyDescent="0.2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4:32" ht="12.75" customHeight="1" x14ac:dyDescent="0.2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4:32" ht="12.75" customHeight="1" x14ac:dyDescent="0.2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4:32" ht="12.75" customHeight="1" x14ac:dyDescent="0.2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4:32" ht="12.75" customHeight="1" x14ac:dyDescent="0.2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4:32" ht="12.75" customHeight="1" x14ac:dyDescent="0.2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4:32" ht="12.75" customHeight="1" x14ac:dyDescent="0.2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4:32" ht="12.75" customHeight="1" x14ac:dyDescent="0.2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4:32" ht="12.75" customHeight="1" x14ac:dyDescent="0.2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4:32" ht="12.75" customHeight="1" x14ac:dyDescent="0.2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4:32" ht="12.75" customHeight="1" x14ac:dyDescent="0.2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4:32" ht="12.75" customHeight="1" x14ac:dyDescent="0.2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4:32" ht="12.75" customHeight="1" x14ac:dyDescent="0.2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4:32" ht="12.75" customHeight="1" x14ac:dyDescent="0.2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4:32" ht="12.75" customHeight="1" x14ac:dyDescent="0.2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4:32" ht="12.75" customHeight="1" x14ac:dyDescent="0.2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4:32" ht="12.75" customHeight="1" x14ac:dyDescent="0.2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4:32" ht="12.75" customHeight="1" x14ac:dyDescent="0.2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4:32" ht="12.75" customHeight="1" x14ac:dyDescent="0.2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4:32" ht="12.75" customHeight="1" x14ac:dyDescent="0.2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4:32" ht="12.75" customHeight="1" x14ac:dyDescent="0.2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4:32" ht="12.75" customHeight="1" x14ac:dyDescent="0.2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4:32" ht="12.75" customHeight="1" x14ac:dyDescent="0.2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4:32" ht="12.75" customHeight="1" x14ac:dyDescent="0.2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4:32" ht="12.75" customHeight="1" x14ac:dyDescent="0.2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4:32" ht="12.75" customHeight="1" x14ac:dyDescent="0.2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4:32" ht="12.75" customHeight="1" x14ac:dyDescent="0.2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4:32" ht="12.75" customHeight="1" x14ac:dyDescent="0.2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4:32" ht="12.75" customHeight="1" x14ac:dyDescent="0.2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4:32" ht="12.75" customHeight="1" x14ac:dyDescent="0.2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4:32" ht="12.75" customHeight="1" x14ac:dyDescent="0.2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4:32" ht="12.75" customHeight="1" x14ac:dyDescent="0.2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4:32" ht="12.75" customHeight="1" x14ac:dyDescent="0.2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4:32" ht="12.75" customHeight="1" x14ac:dyDescent="0.2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4:32" ht="12.75" customHeight="1" x14ac:dyDescent="0.2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4:32" ht="12.75" customHeight="1" x14ac:dyDescent="0.2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4:32" ht="12.75" customHeight="1" x14ac:dyDescent="0.2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4:32" ht="12.75" customHeight="1" x14ac:dyDescent="0.2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4:32" ht="12.75" customHeight="1" x14ac:dyDescent="0.2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4:32" ht="12.75" customHeight="1" x14ac:dyDescent="0.2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4:32" ht="12.75" customHeight="1" x14ac:dyDescent="0.2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4:32" ht="12.75" customHeight="1" x14ac:dyDescent="0.2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4:32" ht="12.75" customHeight="1" x14ac:dyDescent="0.2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4:32" ht="12.75" customHeight="1" x14ac:dyDescent="0.2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4:32" ht="12.75" customHeight="1" x14ac:dyDescent="0.2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4:32" ht="12.75" customHeight="1" x14ac:dyDescent="0.2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4:32" ht="12.75" customHeight="1" x14ac:dyDescent="0.2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4:32" ht="12.75" customHeight="1" x14ac:dyDescent="0.2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4:32" ht="12.75" customHeight="1" x14ac:dyDescent="0.2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4:32" ht="12.75" customHeight="1" x14ac:dyDescent="0.2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4:32" ht="12.75" customHeight="1" x14ac:dyDescent="0.2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4:32" ht="12.75" customHeight="1" x14ac:dyDescent="0.2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4:32" ht="12.75" customHeight="1" x14ac:dyDescent="0.2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4:32" ht="12.75" customHeight="1" x14ac:dyDescent="0.2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4:32" ht="12.75" customHeight="1" x14ac:dyDescent="0.2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4:32" ht="12.75" customHeight="1" x14ac:dyDescent="0.2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4:32" ht="12.75" customHeight="1" x14ac:dyDescent="0.2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4:32" ht="12.75" customHeight="1" x14ac:dyDescent="0.2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4:32" ht="12.75" customHeight="1" x14ac:dyDescent="0.2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4:32" ht="12.75" customHeight="1" x14ac:dyDescent="0.2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4:32" ht="12.75" customHeight="1" x14ac:dyDescent="0.2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4:32" ht="12.75" customHeight="1" x14ac:dyDescent="0.2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4:32" ht="12.75" customHeight="1" x14ac:dyDescent="0.2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4:32" ht="12.75" customHeight="1" x14ac:dyDescent="0.2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4:32" ht="12.75" customHeight="1" x14ac:dyDescent="0.2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4:32" ht="12.75" customHeight="1" x14ac:dyDescent="0.2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4:32" ht="12.75" customHeight="1" x14ac:dyDescent="0.2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4:32" ht="12.75" customHeight="1" x14ac:dyDescent="0.2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4:32" ht="12.75" customHeight="1" x14ac:dyDescent="0.2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4:32" ht="12.75" customHeight="1" x14ac:dyDescent="0.2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4:32" ht="12.75" customHeight="1" x14ac:dyDescent="0.2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4:32" ht="12.75" customHeight="1" x14ac:dyDescent="0.2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4:32" ht="12.75" customHeight="1" x14ac:dyDescent="0.2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4:32" ht="12.75" customHeight="1" x14ac:dyDescent="0.2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4:32" ht="12.75" customHeight="1" x14ac:dyDescent="0.2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4:32" ht="12.75" customHeight="1" x14ac:dyDescent="0.2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4:32" ht="12.75" customHeight="1" x14ac:dyDescent="0.2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4:32" ht="12.75" customHeight="1" x14ac:dyDescent="0.2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4:32" ht="12.75" customHeight="1" x14ac:dyDescent="0.2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4:32" ht="12.75" customHeight="1" x14ac:dyDescent="0.2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4:32" ht="12.75" customHeight="1" x14ac:dyDescent="0.2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4:32" ht="12.75" customHeight="1" x14ac:dyDescent="0.2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4:32" ht="12.75" customHeight="1" x14ac:dyDescent="0.2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4:32" ht="12.75" customHeight="1" x14ac:dyDescent="0.2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4:32" ht="12.75" customHeight="1" x14ac:dyDescent="0.2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4:32" ht="12.75" customHeight="1" x14ac:dyDescent="0.2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4:32" ht="12.75" customHeight="1" x14ac:dyDescent="0.2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4:32" ht="12.75" customHeight="1" x14ac:dyDescent="0.2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4:32" ht="12.75" customHeight="1" x14ac:dyDescent="0.2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4:32" ht="12.75" customHeight="1" x14ac:dyDescent="0.2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4:32" ht="12.75" customHeight="1" x14ac:dyDescent="0.2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4:32" ht="12.75" customHeight="1" x14ac:dyDescent="0.2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4:32" ht="12.75" customHeight="1" x14ac:dyDescent="0.2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4:32" ht="12.75" customHeight="1" x14ac:dyDescent="0.2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4:32" ht="12.75" customHeight="1" x14ac:dyDescent="0.2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4:32" ht="12.75" customHeight="1" x14ac:dyDescent="0.2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4:32" ht="12.75" customHeight="1" x14ac:dyDescent="0.2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4:32" ht="12.75" customHeight="1" x14ac:dyDescent="0.2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4:32" ht="12.75" customHeight="1" x14ac:dyDescent="0.2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4:32" ht="12.75" customHeight="1" x14ac:dyDescent="0.2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4:32" ht="12.75" customHeight="1" x14ac:dyDescent="0.2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4:32" ht="12.75" customHeight="1" x14ac:dyDescent="0.2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4:32" ht="12.75" customHeight="1" x14ac:dyDescent="0.2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4:32" ht="12.75" customHeight="1" x14ac:dyDescent="0.2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4:32" ht="12.75" customHeight="1" x14ac:dyDescent="0.2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4:32" ht="12.75" customHeight="1" x14ac:dyDescent="0.2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4:32" ht="12.75" customHeight="1" x14ac:dyDescent="0.2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4:32" ht="12.75" customHeight="1" x14ac:dyDescent="0.2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4:32" ht="12.75" customHeight="1" x14ac:dyDescent="0.2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4:32" ht="12.75" customHeight="1" x14ac:dyDescent="0.2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4:32" ht="12.75" customHeight="1" x14ac:dyDescent="0.2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4:32" ht="12.75" customHeight="1" x14ac:dyDescent="0.2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4:32" ht="12.75" customHeight="1" x14ac:dyDescent="0.2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4:32" ht="12.75" customHeight="1" x14ac:dyDescent="0.2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4:32" ht="12.75" customHeight="1" x14ac:dyDescent="0.2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4:32" ht="12.75" customHeight="1" x14ac:dyDescent="0.2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4:32" ht="12.75" customHeight="1" x14ac:dyDescent="0.2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4:32" ht="12.75" customHeight="1" x14ac:dyDescent="0.2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4:32" ht="12.75" customHeight="1" x14ac:dyDescent="0.2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4:32" ht="12.75" customHeight="1" x14ac:dyDescent="0.2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4:32" ht="12.75" customHeight="1" x14ac:dyDescent="0.2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4:32" ht="12.75" customHeight="1" x14ac:dyDescent="0.2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4:32" ht="12.75" customHeight="1" x14ac:dyDescent="0.2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4:32" ht="12.75" customHeight="1" x14ac:dyDescent="0.2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4:32" ht="12.75" customHeight="1" x14ac:dyDescent="0.2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4:32" ht="12.75" customHeight="1" x14ac:dyDescent="0.2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4:32" ht="12.75" customHeight="1" x14ac:dyDescent="0.2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4:32" ht="12.75" customHeight="1" x14ac:dyDescent="0.2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4:32" ht="12.75" customHeight="1" x14ac:dyDescent="0.2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4:32" ht="12.75" customHeight="1" x14ac:dyDescent="0.2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4:32" ht="12.75" customHeight="1" x14ac:dyDescent="0.2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4:32" ht="12.75" customHeight="1" x14ac:dyDescent="0.2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4:32" ht="12.75" customHeight="1" x14ac:dyDescent="0.2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4:32" ht="12.75" customHeight="1" x14ac:dyDescent="0.2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4:32" ht="12.75" customHeight="1" x14ac:dyDescent="0.2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4:32" ht="12.75" customHeight="1" x14ac:dyDescent="0.2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4:32" ht="12.75" customHeight="1" x14ac:dyDescent="0.2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4:32" ht="12.75" customHeight="1" x14ac:dyDescent="0.2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4:32" ht="12.75" customHeight="1" x14ac:dyDescent="0.2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4:32" ht="12.75" customHeight="1" x14ac:dyDescent="0.2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4:32" ht="12.75" customHeight="1" x14ac:dyDescent="0.2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4:32" ht="12.75" customHeight="1" x14ac:dyDescent="0.2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4:32" ht="12.75" customHeight="1" x14ac:dyDescent="0.2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4:32" ht="12.75" customHeight="1" x14ac:dyDescent="0.2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4:32" ht="12.75" customHeight="1" x14ac:dyDescent="0.2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4:32" ht="12.75" customHeight="1" x14ac:dyDescent="0.2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4:32" ht="12.75" customHeight="1" x14ac:dyDescent="0.2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4:32" ht="12.75" customHeight="1" x14ac:dyDescent="0.2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4:32" ht="12.75" customHeight="1" x14ac:dyDescent="0.2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4:32" ht="12.75" customHeight="1" x14ac:dyDescent="0.2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4:32" ht="12.75" customHeight="1" x14ac:dyDescent="0.2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4:32" ht="12.75" customHeight="1" x14ac:dyDescent="0.2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4:32" ht="12.75" customHeight="1" x14ac:dyDescent="0.2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4:32" ht="12.75" customHeight="1" x14ac:dyDescent="0.2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4:32" ht="12.75" customHeight="1" x14ac:dyDescent="0.2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4:32" ht="12.75" customHeight="1" x14ac:dyDescent="0.2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4:32" ht="12.75" customHeight="1" x14ac:dyDescent="0.2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4:32" ht="12.75" customHeight="1" x14ac:dyDescent="0.2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4:32" ht="12.75" customHeight="1" x14ac:dyDescent="0.2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4:32" ht="12.75" customHeight="1" x14ac:dyDescent="0.2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4:32" ht="12.75" customHeight="1" x14ac:dyDescent="0.2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4:32" ht="12.75" customHeight="1" x14ac:dyDescent="0.2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4:32" ht="12.75" customHeight="1" x14ac:dyDescent="0.2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4:32" ht="12.75" customHeight="1" x14ac:dyDescent="0.2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4:32" ht="12.75" customHeight="1" x14ac:dyDescent="0.2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4:32" ht="12.75" customHeight="1" x14ac:dyDescent="0.2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4:32" ht="12.75" customHeight="1" x14ac:dyDescent="0.2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4:32" ht="12.75" customHeight="1" x14ac:dyDescent="0.2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4:32" ht="12.75" customHeight="1" x14ac:dyDescent="0.2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4:32" ht="12.75" customHeight="1" x14ac:dyDescent="0.2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4:32" ht="12.75" customHeight="1" x14ac:dyDescent="0.2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4:32" ht="12.75" customHeight="1" x14ac:dyDescent="0.2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4:32" ht="12.75" customHeight="1" x14ac:dyDescent="0.2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4:32" ht="12.75" customHeight="1" x14ac:dyDescent="0.2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4:32" ht="12.75" customHeight="1" x14ac:dyDescent="0.2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4:32" ht="12.75" customHeight="1" x14ac:dyDescent="0.2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4:32" ht="12.75" customHeight="1" x14ac:dyDescent="0.2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4:32" ht="12.75" customHeight="1" x14ac:dyDescent="0.2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4:32" ht="12.75" customHeight="1" x14ac:dyDescent="0.2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4:32" ht="12.75" customHeight="1" x14ac:dyDescent="0.2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4:32" ht="12.75" customHeight="1" x14ac:dyDescent="0.2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4:32" ht="12.75" customHeight="1" x14ac:dyDescent="0.2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4:32" ht="12.75" customHeight="1" x14ac:dyDescent="0.2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4:32" ht="12.75" customHeight="1" x14ac:dyDescent="0.2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4:32" ht="12.75" customHeight="1" x14ac:dyDescent="0.2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4:32" ht="12.75" customHeight="1" x14ac:dyDescent="0.2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4:32" ht="12.75" customHeight="1" x14ac:dyDescent="0.2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4:32" ht="12.75" customHeight="1" x14ac:dyDescent="0.2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4:32" ht="12.75" customHeight="1" x14ac:dyDescent="0.2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4:32" ht="12.75" customHeight="1" x14ac:dyDescent="0.2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4:32" ht="12.75" customHeight="1" x14ac:dyDescent="0.2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4:32" ht="12.75" customHeight="1" x14ac:dyDescent="0.2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4:32" ht="12.75" customHeight="1" x14ac:dyDescent="0.2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4:32" ht="12.75" customHeight="1" x14ac:dyDescent="0.2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4:32" ht="12.75" customHeight="1" x14ac:dyDescent="0.2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4:32" ht="12.75" customHeight="1" x14ac:dyDescent="0.2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4:32" ht="12.75" customHeight="1" x14ac:dyDescent="0.2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4:32" ht="12.75" customHeight="1" x14ac:dyDescent="0.2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4:32" ht="12.75" customHeight="1" x14ac:dyDescent="0.2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4:32" ht="12.75" customHeight="1" x14ac:dyDescent="0.2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4:32" ht="12.75" customHeight="1" x14ac:dyDescent="0.2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4:32" ht="12.75" customHeight="1" x14ac:dyDescent="0.2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4:32" ht="12.75" customHeight="1" x14ac:dyDescent="0.2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4:32" ht="12.75" customHeight="1" x14ac:dyDescent="0.2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4:32" ht="12.75" customHeight="1" x14ac:dyDescent="0.2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4:32" ht="12.75" customHeight="1" x14ac:dyDescent="0.2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4:32" ht="12.75" customHeight="1" x14ac:dyDescent="0.2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4:32" ht="12.75" customHeight="1" x14ac:dyDescent="0.2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4:32" ht="12.75" customHeight="1" x14ac:dyDescent="0.2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4:32" ht="12.75" customHeight="1" x14ac:dyDescent="0.2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4:32" ht="12.75" customHeight="1" x14ac:dyDescent="0.2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4:32" ht="12.75" customHeight="1" x14ac:dyDescent="0.2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4:32" ht="12.75" customHeight="1" x14ac:dyDescent="0.2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4:32" ht="12.75" customHeight="1" x14ac:dyDescent="0.2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4:32" ht="12.75" customHeight="1" x14ac:dyDescent="0.2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4:32" ht="12.75" customHeight="1" x14ac:dyDescent="0.2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4:32" ht="12.75" customHeight="1" x14ac:dyDescent="0.2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4:32" ht="12.75" customHeight="1" x14ac:dyDescent="0.2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4:32" ht="12.75" customHeight="1" x14ac:dyDescent="0.2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4:32" ht="12.75" customHeight="1" x14ac:dyDescent="0.2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4:32" ht="12.75" customHeight="1" x14ac:dyDescent="0.2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4:32" ht="12.75" customHeight="1" x14ac:dyDescent="0.2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4:32" ht="12.75" customHeight="1" x14ac:dyDescent="0.2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4:32" ht="12.75" customHeight="1" x14ac:dyDescent="0.2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4:32" ht="12.75" customHeight="1" x14ac:dyDescent="0.2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4:32" ht="12.75" customHeight="1" x14ac:dyDescent="0.2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4:32" ht="12.75" customHeight="1" x14ac:dyDescent="0.2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4:32" ht="12.75" customHeight="1" x14ac:dyDescent="0.2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4:32" ht="12.75" customHeight="1" x14ac:dyDescent="0.2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4:32" ht="12.75" customHeight="1" x14ac:dyDescent="0.2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4:32" ht="12.75" customHeight="1" x14ac:dyDescent="0.2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4:32" ht="12.75" customHeight="1" x14ac:dyDescent="0.2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4:32" ht="12.75" customHeight="1" x14ac:dyDescent="0.2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4:32" ht="12.75" customHeight="1" x14ac:dyDescent="0.2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4:32" ht="12.75" customHeight="1" x14ac:dyDescent="0.2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4:32" ht="12.75" customHeight="1" x14ac:dyDescent="0.2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4:32" ht="12.75" customHeight="1" x14ac:dyDescent="0.2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4:32" ht="12.75" customHeight="1" x14ac:dyDescent="0.2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4:32" ht="12.75" customHeight="1" x14ac:dyDescent="0.2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4:32" ht="12.75" customHeight="1" x14ac:dyDescent="0.2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4:32" ht="12.75" customHeight="1" x14ac:dyDescent="0.2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4:32" ht="12.75" customHeight="1" x14ac:dyDescent="0.2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4:32" ht="12.75" customHeight="1" x14ac:dyDescent="0.2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4:32" ht="12.75" customHeight="1" x14ac:dyDescent="0.2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4:32" ht="12.75" customHeight="1" x14ac:dyDescent="0.2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4:32" ht="12.75" customHeight="1" x14ac:dyDescent="0.2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4:32" ht="12.75" customHeight="1" x14ac:dyDescent="0.2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4:32" ht="12.75" customHeight="1" x14ac:dyDescent="0.2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4:32" ht="12.75" customHeight="1" x14ac:dyDescent="0.2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4:32" ht="12.75" customHeight="1" x14ac:dyDescent="0.2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4:32" ht="12.75" customHeight="1" x14ac:dyDescent="0.2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4:32" ht="12.75" customHeight="1" x14ac:dyDescent="0.2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4:32" ht="12.75" customHeight="1" x14ac:dyDescent="0.2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4:32" ht="12.75" customHeight="1" x14ac:dyDescent="0.2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4:32" ht="12.75" customHeight="1" x14ac:dyDescent="0.2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4:32" ht="12.75" customHeight="1" x14ac:dyDescent="0.2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4:32" ht="12.75" customHeight="1" x14ac:dyDescent="0.2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4:32" ht="12.75" customHeight="1" x14ac:dyDescent="0.2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4:32" ht="12.75" customHeight="1" x14ac:dyDescent="0.2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4:32" ht="12.75" customHeight="1" x14ac:dyDescent="0.2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4:32" ht="12.75" customHeight="1" x14ac:dyDescent="0.2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4:32" ht="12.75" customHeight="1" x14ac:dyDescent="0.2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4:32" ht="12.75" customHeight="1" x14ac:dyDescent="0.2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4:32" ht="12.75" customHeight="1" x14ac:dyDescent="0.2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4:32" ht="12.75" customHeight="1" x14ac:dyDescent="0.2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4:32" ht="12.75" customHeight="1" x14ac:dyDescent="0.2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4:32" ht="12.75" customHeight="1" x14ac:dyDescent="0.2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4:32" ht="12.75" customHeight="1" x14ac:dyDescent="0.2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4:32" ht="12.75" customHeight="1" x14ac:dyDescent="0.2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4:32" ht="12.75" customHeight="1" x14ac:dyDescent="0.2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4:32" ht="12.75" customHeight="1" x14ac:dyDescent="0.2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4:32" ht="12.75" customHeight="1" x14ac:dyDescent="0.2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4:32" ht="12.75" customHeight="1" x14ac:dyDescent="0.2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4:32" ht="12.75" customHeight="1" x14ac:dyDescent="0.2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4:32" ht="12.75" customHeight="1" x14ac:dyDescent="0.2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4:32" ht="12.75" customHeight="1" x14ac:dyDescent="0.2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4:32" ht="12.75" customHeight="1" x14ac:dyDescent="0.2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4:32" ht="12.75" customHeight="1" x14ac:dyDescent="0.2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4:32" ht="12.75" customHeight="1" x14ac:dyDescent="0.2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4:32" ht="12.75" customHeight="1" x14ac:dyDescent="0.2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4:32" ht="12.75" customHeight="1" x14ac:dyDescent="0.2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4:32" ht="12.75" customHeight="1" x14ac:dyDescent="0.2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4:32" ht="12.75" customHeight="1" x14ac:dyDescent="0.2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4:32" ht="12.75" customHeight="1" x14ac:dyDescent="0.2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4:32" ht="12.75" customHeight="1" x14ac:dyDescent="0.2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4:32" ht="12.75" customHeight="1" x14ac:dyDescent="0.2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4:32" ht="12.75" customHeight="1" x14ac:dyDescent="0.2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4:32" ht="12.75" customHeight="1" x14ac:dyDescent="0.2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4:32" ht="12.75" customHeight="1" x14ac:dyDescent="0.2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4:32" ht="12.75" customHeight="1" x14ac:dyDescent="0.2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4:32" ht="12.75" customHeight="1" x14ac:dyDescent="0.2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4:32" ht="12.75" customHeight="1" x14ac:dyDescent="0.2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4:32" ht="12.75" customHeight="1" x14ac:dyDescent="0.2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4:32" ht="12.75" customHeight="1" x14ac:dyDescent="0.2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4:32" ht="12.75" customHeight="1" x14ac:dyDescent="0.2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4:32" ht="12.75" customHeight="1" x14ac:dyDescent="0.2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4:32" ht="12.75" customHeight="1" x14ac:dyDescent="0.2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4:32" ht="12.75" customHeight="1" x14ac:dyDescent="0.2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4:32" ht="12.75" customHeight="1" x14ac:dyDescent="0.2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4:32" ht="12.75" customHeight="1" x14ac:dyDescent="0.2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4:32" ht="12.75" customHeight="1" x14ac:dyDescent="0.2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4:32" ht="12.75" customHeight="1" x14ac:dyDescent="0.2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4:32" ht="12.75" customHeight="1" x14ac:dyDescent="0.2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4:32" ht="12.75" customHeight="1" x14ac:dyDescent="0.2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4:32" ht="12.75" customHeight="1" x14ac:dyDescent="0.2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4:32" ht="12.75" customHeight="1" x14ac:dyDescent="0.2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4:32" ht="12.75" customHeight="1" x14ac:dyDescent="0.2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4:32" ht="12.75" customHeight="1" x14ac:dyDescent="0.2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4:32" ht="12.75" customHeight="1" x14ac:dyDescent="0.2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4:32" ht="12.75" customHeight="1" x14ac:dyDescent="0.2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4:32" ht="12.75" customHeight="1" x14ac:dyDescent="0.2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4:32" ht="12.75" customHeight="1" x14ac:dyDescent="0.2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4:32" ht="12.75" customHeight="1" x14ac:dyDescent="0.2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4:32" ht="12.75" customHeight="1" x14ac:dyDescent="0.2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4:32" ht="12.75" customHeight="1" x14ac:dyDescent="0.2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4:32" ht="12.75" customHeight="1" x14ac:dyDescent="0.2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4:32" ht="12.75" customHeight="1" x14ac:dyDescent="0.2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4:32" ht="12.75" customHeight="1" x14ac:dyDescent="0.2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4:32" ht="12.75" customHeight="1" x14ac:dyDescent="0.2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4:32" ht="12.75" customHeight="1" x14ac:dyDescent="0.2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4:32" ht="12.75" customHeight="1" x14ac:dyDescent="0.2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4:32" ht="12.75" customHeight="1" x14ac:dyDescent="0.2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4:32" ht="12.75" customHeight="1" x14ac:dyDescent="0.2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4:32" ht="12.75" customHeight="1" x14ac:dyDescent="0.2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4:32" ht="12.75" customHeight="1" x14ac:dyDescent="0.2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4:32" ht="12.75" customHeight="1" x14ac:dyDescent="0.2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4:32" ht="12.75" customHeight="1" x14ac:dyDescent="0.2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4:32" ht="12.75" customHeight="1" x14ac:dyDescent="0.2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4:32" ht="12.75" customHeight="1" x14ac:dyDescent="0.2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4:32" ht="12.75" customHeight="1" x14ac:dyDescent="0.2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4:32" ht="12.75" customHeight="1" x14ac:dyDescent="0.2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4:32" ht="12.75" customHeight="1" x14ac:dyDescent="0.2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4:32" ht="12.75" customHeight="1" x14ac:dyDescent="0.2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4:32" ht="12.75" customHeight="1" x14ac:dyDescent="0.2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4:32" ht="12.75" customHeight="1" x14ac:dyDescent="0.2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4:32" ht="12.75" customHeight="1" x14ac:dyDescent="0.2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4:32" ht="12.75" customHeight="1" x14ac:dyDescent="0.2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4:32" ht="12.75" customHeight="1" x14ac:dyDescent="0.2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4:32" ht="12.75" customHeight="1" x14ac:dyDescent="0.2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4:32" ht="12.75" customHeight="1" x14ac:dyDescent="0.2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4:32" ht="12.75" customHeight="1" x14ac:dyDescent="0.2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4:32" ht="12.75" customHeight="1" x14ac:dyDescent="0.2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4:32" ht="12.75" customHeight="1" x14ac:dyDescent="0.2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4:32" ht="12.75" customHeight="1" x14ac:dyDescent="0.2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4:32" ht="12.75" customHeight="1" x14ac:dyDescent="0.2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4:32" ht="12.75" customHeight="1" x14ac:dyDescent="0.2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4:32" ht="12.75" customHeight="1" x14ac:dyDescent="0.2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4:32" ht="12.75" customHeight="1" x14ac:dyDescent="0.2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4:32" ht="12.75" customHeight="1" x14ac:dyDescent="0.2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4:32" ht="12.75" customHeight="1" x14ac:dyDescent="0.2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4:32" ht="12.75" customHeight="1" x14ac:dyDescent="0.2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4:32" ht="12.75" customHeight="1" x14ac:dyDescent="0.2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4:32" ht="12.75" customHeight="1" x14ac:dyDescent="0.2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4:32" ht="12.75" customHeight="1" x14ac:dyDescent="0.2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4:32" ht="12.75" customHeight="1" x14ac:dyDescent="0.2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4:32" ht="12.75" customHeight="1" x14ac:dyDescent="0.2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4:32" ht="12.75" customHeight="1" x14ac:dyDescent="0.2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4:32" ht="12.75" customHeight="1" x14ac:dyDescent="0.2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4:32" ht="12.75" customHeight="1" x14ac:dyDescent="0.2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4:32" ht="12.75" customHeight="1" x14ac:dyDescent="0.2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4:32" ht="12.75" customHeight="1" x14ac:dyDescent="0.2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4:32" ht="12.75" customHeight="1" x14ac:dyDescent="0.2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4:32" ht="12.75" customHeight="1" x14ac:dyDescent="0.2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4:32" ht="12.75" customHeight="1" x14ac:dyDescent="0.2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4:32" ht="12.75" customHeight="1" x14ac:dyDescent="0.2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4:32" ht="12.75" customHeight="1" x14ac:dyDescent="0.2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4:32" ht="12.75" customHeight="1" x14ac:dyDescent="0.2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4:32" ht="12.75" customHeight="1" x14ac:dyDescent="0.2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4:32" ht="12.75" customHeight="1" x14ac:dyDescent="0.2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4:32" ht="12.75" customHeight="1" x14ac:dyDescent="0.2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4:32" ht="12.75" customHeight="1" x14ac:dyDescent="0.2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4:32" ht="12.75" customHeight="1" x14ac:dyDescent="0.2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4:32" ht="12.75" customHeight="1" x14ac:dyDescent="0.2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4:32" ht="12.75" customHeight="1" x14ac:dyDescent="0.2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4:32" ht="12.75" customHeight="1" x14ac:dyDescent="0.2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4:32" ht="12.75" customHeight="1" x14ac:dyDescent="0.2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4:32" ht="12.75" customHeight="1" x14ac:dyDescent="0.2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4:32" ht="12.75" customHeight="1" x14ac:dyDescent="0.2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4:32" ht="12.75" customHeight="1" x14ac:dyDescent="0.2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4:32" ht="12.75" customHeight="1" x14ac:dyDescent="0.2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4:32" ht="12.75" customHeight="1" x14ac:dyDescent="0.2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4:32" ht="12.75" customHeight="1" x14ac:dyDescent="0.2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4:32" ht="12.75" customHeight="1" x14ac:dyDescent="0.2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4:32" ht="12.75" customHeight="1" x14ac:dyDescent="0.2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4:32" ht="12.75" customHeight="1" x14ac:dyDescent="0.2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4:32" ht="12.75" customHeight="1" x14ac:dyDescent="0.2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4:32" ht="12.75" customHeight="1" x14ac:dyDescent="0.2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4:32" ht="12.75" customHeight="1" x14ac:dyDescent="0.2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4:32" ht="12.75" customHeight="1" x14ac:dyDescent="0.2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B22:AF65">
    <cfRule type="expression" dxfId="3" priority="3" stopIfTrue="1">
      <formula>$F22="Terminado"</formula>
    </cfRule>
    <cfRule type="expression" dxfId="2" priority="4" stopIfTrue="1">
      <formula>$F22="En Progreso"</formula>
    </cfRule>
  </conditionalFormatting>
  <conditionalFormatting sqref="L22:AF25 C26:AF65">
    <cfRule type="expression" dxfId="1" priority="1" stopIfTrue="1">
      <formula>$F22="Done"</formula>
    </cfRule>
    <cfRule type="expression" dxfId="0" priority="2" stopIfTrue="1">
      <formula>$F22="Ongoing"</formula>
    </cfRule>
  </conditionalFormatting>
  <dataValidations count="1">
    <dataValidation type="list" allowBlank="1" sqref="F10:F15 F22:F71" xr:uid="{00000000-0002-0000-0200-000000000000}">
      <formula1>"Por Hacer,En Progreso,Terminado"</formula1>
    </dataValidation>
  </dataValidations>
  <pageMargins left="0.75" right="0.75" top="1" bottom="1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24</vt:i4>
      </vt:variant>
    </vt:vector>
  </HeadingPairs>
  <TitlesOfParts>
    <vt:vector size="27" baseType="lpstr">
      <vt:lpstr>Sprint 1</vt:lpstr>
      <vt:lpstr>Sprint 2</vt:lpstr>
      <vt:lpstr>Plantilla Sprint</vt:lpstr>
      <vt:lpstr>'Plantilla Sprint'!DoneDays</vt:lpstr>
      <vt:lpstr>'Sprint 1'!DoneDays</vt:lpstr>
      <vt:lpstr>'Sprint 2'!DoneDays</vt:lpstr>
      <vt:lpstr>'Plantilla Sprint'!ImplementationDays</vt:lpstr>
      <vt:lpstr>'Sprint 1'!ImplementationDays</vt:lpstr>
      <vt:lpstr>'Sprint 2'!ImplementationDays</vt:lpstr>
      <vt:lpstr>'Plantilla Sprint'!SprintTasks</vt:lpstr>
      <vt:lpstr>'Sprint 1'!SprintTasks</vt:lpstr>
      <vt:lpstr>'Sprint 2'!SprintTasks</vt:lpstr>
      <vt:lpstr>'Plantilla Sprint'!TaskRows</vt:lpstr>
      <vt:lpstr>'Sprint 1'!TaskRows</vt:lpstr>
      <vt:lpstr>'Sprint 2'!TaskRows</vt:lpstr>
      <vt:lpstr>'Plantilla Sprint'!TaskStatus</vt:lpstr>
      <vt:lpstr>'Sprint 1'!TaskStatus</vt:lpstr>
      <vt:lpstr>'Sprint 2'!TaskStatus</vt:lpstr>
      <vt:lpstr>'Plantilla Sprint'!TaskStoryID</vt:lpstr>
      <vt:lpstr>'Sprint 1'!TaskStoryID</vt:lpstr>
      <vt:lpstr>'Sprint 2'!TaskStoryID</vt:lpstr>
      <vt:lpstr>'Plantilla Sprint'!TotalEffort</vt:lpstr>
      <vt:lpstr>'Sprint 1'!TotalEffort</vt:lpstr>
      <vt:lpstr>'Sprint 2'!TotalEffort</vt:lpstr>
      <vt:lpstr>'Plantilla Sprint'!TrendDays</vt:lpstr>
      <vt:lpstr>'Sprint 1'!TrendDays</vt:lpstr>
      <vt:lpstr>'Sprint 2'!TrendDays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Your name &gt;</dc:creator>
  <cp:lastModifiedBy>Jhann Pier Tapia De la cruz</cp:lastModifiedBy>
  <dcterms:created xsi:type="dcterms:W3CDTF">1998-06-05T11:20:44Z</dcterms:created>
  <dcterms:modified xsi:type="dcterms:W3CDTF">2026-04-16T20:55:49Z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FWJASSSE55TN-275-110</vt:lpwstr>
  </property>
  <property fmtid="{D5CDD505-2E9C-101B-9397-08002B2CF9AE}" pid="4" name="_dlc_DocIdItemGuid">
    <vt:lpwstr>26871ea7-f764-4995-b5ea-d05096b306c2</vt:lpwstr>
  </property>
  <property fmtid="{D5CDD505-2E9C-101B-9397-08002B2CF9AE}" pid="5" name="_dlc_DocIdUrl">
    <vt:lpwstr>https://portal.smrey.net/areas/it/_layouts/15/DocIdRedir.aspx?ID=FWJASSSE55TN-275-110, FWJASSSE55TN-275-110</vt:lpwstr>
  </property>
</Properties>
</file>